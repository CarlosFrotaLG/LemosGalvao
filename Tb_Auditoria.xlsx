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sta\Downloads\"/>
    </mc:Choice>
  </mc:AlternateContent>
  <xr:revisionPtr revIDLastSave="0" documentId="8_{03CCC90B-B698-4450-AF37-2E8C387A5681}" xr6:coauthVersionLast="47" xr6:coauthVersionMax="47" xr10:uidLastSave="{00000000-0000-0000-0000-000000000000}"/>
  <bookViews>
    <workbookView xWindow="-120" yWindow="-120" windowWidth="29040" windowHeight="15720" xr2:uid="{421C4E4E-896B-44C3-8953-28B018837646}"/>
  </bookViews>
  <sheets>
    <sheet name="Auditori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261" i="1" l="1"/>
  <c r="L1261" i="1"/>
  <c r="J1261" i="1"/>
  <c r="I1261" i="1"/>
  <c r="H1261" i="1"/>
  <c r="G1261" i="1"/>
  <c r="D1261" i="1"/>
  <c r="O1260" i="1"/>
  <c r="L1260" i="1"/>
  <c r="J1260" i="1"/>
  <c r="I1260" i="1"/>
  <c r="H1260" i="1"/>
  <c r="G1260" i="1"/>
  <c r="D1260" i="1"/>
  <c r="O1259" i="1"/>
  <c r="L1259" i="1"/>
  <c r="J1259" i="1"/>
  <c r="I1259" i="1"/>
  <c r="H1259" i="1"/>
  <c r="G1259" i="1"/>
  <c r="D1259" i="1"/>
  <c r="O1258" i="1"/>
  <c r="L1258" i="1"/>
  <c r="J1258" i="1"/>
  <c r="I1258" i="1"/>
  <c r="H1258" i="1"/>
  <c r="G1258" i="1"/>
  <c r="D1258" i="1"/>
  <c r="O1257" i="1"/>
  <c r="L1257" i="1"/>
  <c r="J1257" i="1"/>
  <c r="I1257" i="1"/>
  <c r="H1257" i="1"/>
  <c r="G1257" i="1"/>
  <c r="D1257" i="1"/>
  <c r="O1256" i="1"/>
  <c r="L1256" i="1"/>
  <c r="J1256" i="1"/>
  <c r="I1256" i="1"/>
  <c r="H1256" i="1"/>
  <c r="G1256" i="1"/>
  <c r="D1256" i="1"/>
  <c r="O1255" i="1"/>
  <c r="L1255" i="1"/>
  <c r="J1255" i="1"/>
  <c r="I1255" i="1"/>
  <c r="H1255" i="1"/>
  <c r="G1255" i="1"/>
  <c r="D1255" i="1"/>
  <c r="O1254" i="1"/>
  <c r="L1254" i="1"/>
  <c r="J1254" i="1"/>
  <c r="I1254" i="1"/>
  <c r="H1254" i="1"/>
  <c r="G1254" i="1"/>
  <c r="D1254" i="1"/>
  <c r="O1253" i="1"/>
  <c r="L1253" i="1"/>
  <c r="J1253" i="1"/>
  <c r="I1253" i="1"/>
  <c r="H1253" i="1"/>
  <c r="G1253" i="1"/>
  <c r="D1253" i="1"/>
  <c r="O1252" i="1"/>
  <c r="L1252" i="1"/>
  <c r="J1252" i="1"/>
  <c r="I1252" i="1"/>
  <c r="H1252" i="1"/>
  <c r="G1252" i="1"/>
  <c r="D1252" i="1"/>
  <c r="O1251" i="1"/>
  <c r="L1251" i="1"/>
  <c r="J1251" i="1"/>
  <c r="I1251" i="1"/>
  <c r="H1251" i="1"/>
  <c r="G1251" i="1"/>
  <c r="D1251" i="1"/>
  <c r="O1250" i="1"/>
  <c r="L1250" i="1"/>
  <c r="J1250" i="1"/>
  <c r="I1250" i="1"/>
  <c r="H1250" i="1"/>
  <c r="G1250" i="1"/>
  <c r="D1250" i="1"/>
  <c r="O1249" i="1"/>
  <c r="L1249" i="1"/>
  <c r="J1249" i="1"/>
  <c r="I1249" i="1"/>
  <c r="H1249" i="1"/>
  <c r="G1249" i="1"/>
  <c r="D1249" i="1"/>
  <c r="O1248" i="1"/>
  <c r="L1248" i="1"/>
  <c r="J1248" i="1"/>
  <c r="I1248" i="1"/>
  <c r="H1248" i="1"/>
  <c r="G1248" i="1"/>
  <c r="D1248" i="1"/>
  <c r="O1247" i="1"/>
  <c r="L1247" i="1"/>
  <c r="J1247" i="1"/>
  <c r="I1247" i="1"/>
  <c r="H1247" i="1"/>
  <c r="G1247" i="1"/>
  <c r="D1247" i="1"/>
  <c r="O1246" i="1"/>
  <c r="L1246" i="1"/>
  <c r="J1246" i="1"/>
  <c r="I1246" i="1"/>
  <c r="H1246" i="1"/>
  <c r="G1246" i="1"/>
  <c r="D1246" i="1"/>
  <c r="O1245" i="1"/>
  <c r="L1245" i="1"/>
  <c r="J1245" i="1"/>
  <c r="I1245" i="1"/>
  <c r="H1245" i="1"/>
  <c r="G1245" i="1"/>
  <c r="D1245" i="1"/>
  <c r="O1244" i="1"/>
  <c r="L1244" i="1"/>
  <c r="J1244" i="1"/>
  <c r="I1244" i="1"/>
  <c r="H1244" i="1"/>
  <c r="G1244" i="1"/>
  <c r="D1244" i="1"/>
  <c r="O1243" i="1"/>
  <c r="L1243" i="1"/>
  <c r="J1243" i="1"/>
  <c r="I1243" i="1"/>
  <c r="H1243" i="1"/>
  <c r="G1243" i="1"/>
  <c r="D1243" i="1"/>
  <c r="O1242" i="1"/>
  <c r="L1242" i="1"/>
  <c r="J1242" i="1"/>
  <c r="I1242" i="1"/>
  <c r="H1242" i="1"/>
  <c r="G1242" i="1"/>
  <c r="D1242" i="1"/>
  <c r="O1241" i="1"/>
  <c r="L1241" i="1"/>
  <c r="J1241" i="1"/>
  <c r="I1241" i="1"/>
  <c r="H1241" i="1"/>
  <c r="G1241" i="1"/>
  <c r="D1241" i="1"/>
  <c r="O1240" i="1"/>
  <c r="L1240" i="1"/>
  <c r="J1240" i="1"/>
  <c r="I1240" i="1"/>
  <c r="H1240" i="1"/>
  <c r="G1240" i="1"/>
  <c r="D1240" i="1"/>
  <c r="O1239" i="1"/>
  <c r="L1239" i="1"/>
  <c r="J1239" i="1"/>
  <c r="I1239" i="1"/>
  <c r="H1239" i="1"/>
  <c r="G1239" i="1"/>
  <c r="D1239" i="1"/>
  <c r="O1238" i="1"/>
  <c r="L1238" i="1"/>
  <c r="J1238" i="1"/>
  <c r="I1238" i="1"/>
  <c r="H1238" i="1"/>
  <c r="G1238" i="1"/>
  <c r="D1238" i="1"/>
  <c r="O1237" i="1"/>
  <c r="L1237" i="1"/>
  <c r="J1237" i="1"/>
  <c r="I1237" i="1"/>
  <c r="H1237" i="1"/>
  <c r="G1237" i="1"/>
  <c r="D1237" i="1"/>
  <c r="O1236" i="1"/>
  <c r="L1236" i="1"/>
  <c r="J1236" i="1"/>
  <c r="I1236" i="1"/>
  <c r="H1236" i="1"/>
  <c r="G1236" i="1"/>
  <c r="D1236" i="1"/>
  <c r="O1235" i="1"/>
  <c r="L1235" i="1"/>
  <c r="J1235" i="1"/>
  <c r="I1235" i="1"/>
  <c r="H1235" i="1"/>
  <c r="G1235" i="1"/>
  <c r="D1235" i="1"/>
  <c r="O1234" i="1"/>
  <c r="L1234" i="1"/>
  <c r="J1234" i="1"/>
  <c r="I1234" i="1"/>
  <c r="H1234" i="1"/>
  <c r="G1234" i="1"/>
  <c r="D1234" i="1"/>
  <c r="O1233" i="1"/>
  <c r="L1233" i="1"/>
  <c r="J1233" i="1"/>
  <c r="I1233" i="1"/>
  <c r="H1233" i="1"/>
  <c r="G1233" i="1"/>
  <c r="D1233" i="1"/>
  <c r="O1232" i="1"/>
  <c r="L1232" i="1"/>
  <c r="J1232" i="1"/>
  <c r="I1232" i="1"/>
  <c r="H1232" i="1"/>
  <c r="G1232" i="1"/>
  <c r="D1232" i="1"/>
  <c r="O1231" i="1"/>
  <c r="L1231" i="1"/>
  <c r="J1231" i="1"/>
  <c r="I1231" i="1"/>
  <c r="H1231" i="1"/>
  <c r="G1231" i="1"/>
  <c r="D1231" i="1"/>
  <c r="O1230" i="1"/>
  <c r="L1230" i="1"/>
  <c r="J1230" i="1"/>
  <c r="I1230" i="1"/>
  <c r="H1230" i="1"/>
  <c r="G1230" i="1"/>
  <c r="O1229" i="1"/>
  <c r="L1229" i="1"/>
  <c r="J1229" i="1"/>
  <c r="I1229" i="1"/>
  <c r="H1229" i="1"/>
  <c r="G1229" i="1"/>
  <c r="D1229" i="1"/>
  <c r="O1228" i="1"/>
  <c r="L1228" i="1"/>
  <c r="J1228" i="1"/>
  <c r="I1228" i="1"/>
  <c r="H1228" i="1"/>
  <c r="G1228" i="1"/>
  <c r="D1228" i="1"/>
  <c r="O1227" i="1"/>
  <c r="L1227" i="1"/>
  <c r="J1227" i="1"/>
  <c r="I1227" i="1"/>
  <c r="H1227" i="1"/>
  <c r="G1227" i="1"/>
  <c r="D1227" i="1"/>
  <c r="O1226" i="1"/>
  <c r="L1226" i="1"/>
  <c r="J1226" i="1"/>
  <c r="I1226" i="1"/>
  <c r="H1226" i="1"/>
  <c r="G1226" i="1"/>
  <c r="D1226" i="1"/>
  <c r="O1225" i="1"/>
  <c r="L1225" i="1"/>
  <c r="J1225" i="1"/>
  <c r="I1225" i="1"/>
  <c r="H1225" i="1"/>
  <c r="G1225" i="1"/>
  <c r="D1225" i="1"/>
  <c r="O1224" i="1"/>
  <c r="L1224" i="1"/>
  <c r="J1224" i="1"/>
  <c r="I1224" i="1"/>
  <c r="H1224" i="1"/>
  <c r="G1224" i="1"/>
  <c r="D1224" i="1"/>
  <c r="O1223" i="1"/>
  <c r="L1223" i="1"/>
  <c r="J1223" i="1"/>
  <c r="I1223" i="1"/>
  <c r="H1223" i="1"/>
  <c r="G1223" i="1"/>
  <c r="D1223" i="1"/>
  <c r="O1222" i="1"/>
  <c r="L1222" i="1"/>
  <c r="J1222" i="1"/>
  <c r="I1222" i="1"/>
  <c r="H1222" i="1"/>
  <c r="G1222" i="1"/>
  <c r="D1222" i="1"/>
  <c r="O1221" i="1"/>
  <c r="L1221" i="1"/>
  <c r="J1221" i="1"/>
  <c r="I1221" i="1"/>
  <c r="H1221" i="1"/>
  <c r="G1221" i="1"/>
  <c r="D1221" i="1"/>
  <c r="O1220" i="1"/>
  <c r="L1220" i="1"/>
  <c r="J1220" i="1"/>
  <c r="I1220" i="1"/>
  <c r="H1220" i="1"/>
  <c r="G1220" i="1"/>
  <c r="D1220" i="1"/>
  <c r="O1219" i="1"/>
  <c r="L1219" i="1"/>
  <c r="J1219" i="1"/>
  <c r="I1219" i="1"/>
  <c r="H1219" i="1"/>
  <c r="G1219" i="1"/>
  <c r="D1219" i="1"/>
  <c r="O1218" i="1"/>
  <c r="L1218" i="1"/>
  <c r="J1218" i="1"/>
  <c r="I1218" i="1"/>
  <c r="H1218" i="1"/>
  <c r="G1218" i="1"/>
  <c r="D1218" i="1"/>
  <c r="O1217" i="1"/>
  <c r="L1217" i="1"/>
  <c r="J1217" i="1"/>
  <c r="I1217" i="1"/>
  <c r="H1217" i="1"/>
  <c r="G1217" i="1"/>
  <c r="D1217" i="1"/>
  <c r="O1216" i="1"/>
  <c r="L1216" i="1"/>
  <c r="J1216" i="1"/>
  <c r="I1216" i="1"/>
  <c r="H1216" i="1"/>
  <c r="G1216" i="1"/>
  <c r="O1215" i="1"/>
  <c r="L1215" i="1"/>
  <c r="J1215" i="1"/>
  <c r="I1215" i="1"/>
  <c r="H1215" i="1"/>
  <c r="G1215" i="1"/>
  <c r="D1215" i="1"/>
  <c r="O1214" i="1"/>
  <c r="L1214" i="1"/>
  <c r="J1214" i="1"/>
  <c r="I1214" i="1"/>
  <c r="H1214" i="1"/>
  <c r="G1214" i="1"/>
  <c r="D1214" i="1"/>
  <c r="O1213" i="1"/>
  <c r="L1213" i="1"/>
  <c r="J1213" i="1"/>
  <c r="I1213" i="1"/>
  <c r="H1213" i="1"/>
  <c r="G1213" i="1"/>
  <c r="D1213" i="1"/>
  <c r="O1212" i="1"/>
  <c r="L1212" i="1"/>
  <c r="J1212" i="1"/>
  <c r="I1212" i="1"/>
  <c r="H1212" i="1"/>
  <c r="G1212" i="1"/>
  <c r="D1212" i="1"/>
  <c r="O1211" i="1"/>
  <c r="L1211" i="1"/>
  <c r="J1211" i="1"/>
  <c r="I1211" i="1"/>
  <c r="H1211" i="1"/>
  <c r="G1211" i="1"/>
  <c r="D1211" i="1"/>
  <c r="O1210" i="1"/>
  <c r="L1210" i="1"/>
  <c r="J1210" i="1"/>
  <c r="I1210" i="1"/>
  <c r="H1210" i="1"/>
  <c r="G1210" i="1"/>
  <c r="D1210" i="1"/>
  <c r="O1209" i="1"/>
  <c r="L1209" i="1"/>
  <c r="J1209" i="1"/>
  <c r="I1209" i="1"/>
  <c r="H1209" i="1"/>
  <c r="G1209" i="1"/>
  <c r="D1209" i="1"/>
  <c r="O1208" i="1"/>
  <c r="L1208" i="1"/>
  <c r="J1208" i="1"/>
  <c r="I1208" i="1"/>
  <c r="H1208" i="1"/>
  <c r="G1208" i="1"/>
  <c r="D1208" i="1"/>
  <c r="O1207" i="1"/>
  <c r="L1207" i="1"/>
  <c r="J1207" i="1"/>
  <c r="I1207" i="1"/>
  <c r="H1207" i="1"/>
  <c r="G1207" i="1"/>
  <c r="D1207" i="1"/>
  <c r="O1206" i="1"/>
  <c r="L1206" i="1"/>
  <c r="J1206" i="1"/>
  <c r="I1206" i="1"/>
  <c r="H1206" i="1"/>
  <c r="G1206" i="1"/>
  <c r="D1206" i="1"/>
  <c r="O1205" i="1"/>
  <c r="L1205" i="1"/>
  <c r="J1205" i="1"/>
  <c r="I1205" i="1"/>
  <c r="H1205" i="1"/>
  <c r="G1205" i="1"/>
  <c r="D1205" i="1"/>
  <c r="O1204" i="1"/>
  <c r="L1204" i="1"/>
  <c r="J1204" i="1"/>
  <c r="I1204" i="1"/>
  <c r="H1204" i="1"/>
  <c r="G1204" i="1"/>
  <c r="D1204" i="1"/>
  <c r="O1203" i="1"/>
  <c r="L1203" i="1"/>
  <c r="J1203" i="1"/>
  <c r="I1203" i="1"/>
  <c r="H1203" i="1"/>
  <c r="G1203" i="1"/>
  <c r="D1203" i="1"/>
  <c r="O1202" i="1"/>
  <c r="L1202" i="1"/>
  <c r="J1202" i="1"/>
  <c r="I1202" i="1"/>
  <c r="H1202" i="1"/>
  <c r="G1202" i="1"/>
  <c r="D1202" i="1"/>
  <c r="O1201" i="1"/>
  <c r="L1201" i="1"/>
  <c r="J1201" i="1"/>
  <c r="I1201" i="1"/>
  <c r="H1201" i="1"/>
  <c r="G1201" i="1"/>
  <c r="D1201" i="1"/>
  <c r="O1200" i="1"/>
  <c r="L1200" i="1"/>
  <c r="J1200" i="1"/>
  <c r="I1200" i="1"/>
  <c r="H1200" i="1"/>
  <c r="G1200" i="1"/>
  <c r="D1200" i="1"/>
  <c r="O1199" i="1"/>
  <c r="L1199" i="1"/>
  <c r="J1199" i="1"/>
  <c r="I1199" i="1"/>
  <c r="H1199" i="1"/>
  <c r="G1199" i="1"/>
  <c r="D1199" i="1"/>
  <c r="O1198" i="1"/>
  <c r="L1198" i="1"/>
  <c r="J1198" i="1"/>
  <c r="I1198" i="1"/>
  <c r="H1198" i="1"/>
  <c r="G1198" i="1"/>
  <c r="D1198" i="1"/>
  <c r="O1197" i="1"/>
  <c r="L1197" i="1"/>
  <c r="J1197" i="1"/>
  <c r="I1197" i="1"/>
  <c r="H1197" i="1"/>
  <c r="G1197" i="1"/>
  <c r="D1197" i="1"/>
  <c r="O1196" i="1"/>
  <c r="L1196" i="1"/>
  <c r="J1196" i="1"/>
  <c r="I1196" i="1"/>
  <c r="H1196" i="1"/>
  <c r="G1196" i="1"/>
  <c r="D1196" i="1"/>
  <c r="O1195" i="1"/>
  <c r="L1195" i="1"/>
  <c r="J1195" i="1"/>
  <c r="I1195" i="1"/>
  <c r="H1195" i="1"/>
  <c r="G1195" i="1"/>
  <c r="D1195" i="1"/>
  <c r="O1194" i="1"/>
  <c r="L1194" i="1"/>
  <c r="J1194" i="1"/>
  <c r="I1194" i="1"/>
  <c r="H1194" i="1"/>
  <c r="G1194" i="1"/>
  <c r="D1194" i="1"/>
  <c r="O1193" i="1"/>
  <c r="L1193" i="1"/>
  <c r="J1193" i="1"/>
  <c r="I1193" i="1"/>
  <c r="H1193" i="1"/>
  <c r="G1193" i="1"/>
  <c r="D1193" i="1"/>
  <c r="O1192" i="1"/>
  <c r="L1192" i="1"/>
  <c r="J1192" i="1"/>
  <c r="I1192" i="1"/>
  <c r="H1192" i="1"/>
  <c r="G1192" i="1"/>
  <c r="D1192" i="1"/>
  <c r="O1191" i="1"/>
  <c r="L1191" i="1"/>
  <c r="J1191" i="1"/>
  <c r="I1191" i="1"/>
  <c r="H1191" i="1"/>
  <c r="G1191" i="1"/>
  <c r="D1191" i="1"/>
  <c r="O1190" i="1"/>
  <c r="L1190" i="1"/>
  <c r="J1190" i="1"/>
  <c r="I1190" i="1"/>
  <c r="H1190" i="1"/>
  <c r="G1190" i="1"/>
  <c r="D1190" i="1"/>
  <c r="O1189" i="1"/>
  <c r="L1189" i="1"/>
  <c r="J1189" i="1"/>
  <c r="I1189" i="1"/>
  <c r="H1189" i="1"/>
  <c r="G1189" i="1"/>
  <c r="D1189" i="1"/>
  <c r="O1188" i="1"/>
  <c r="L1188" i="1"/>
  <c r="J1188" i="1"/>
  <c r="I1188" i="1"/>
  <c r="H1188" i="1"/>
  <c r="G1188" i="1"/>
  <c r="D1188" i="1"/>
  <c r="O1187" i="1"/>
  <c r="L1187" i="1"/>
  <c r="J1187" i="1"/>
  <c r="I1187" i="1"/>
  <c r="H1187" i="1"/>
  <c r="G1187" i="1"/>
  <c r="D1187" i="1"/>
  <c r="O1186" i="1"/>
  <c r="L1186" i="1"/>
  <c r="J1186" i="1"/>
  <c r="I1186" i="1"/>
  <c r="H1186" i="1"/>
  <c r="G1186" i="1"/>
  <c r="D1186" i="1"/>
  <c r="O1185" i="1"/>
  <c r="L1185" i="1"/>
  <c r="J1185" i="1"/>
  <c r="I1185" i="1"/>
  <c r="H1185" i="1"/>
  <c r="G1185" i="1"/>
  <c r="D1185" i="1"/>
  <c r="O1184" i="1"/>
  <c r="L1184" i="1"/>
  <c r="J1184" i="1"/>
  <c r="I1184" i="1"/>
  <c r="H1184" i="1"/>
  <c r="G1184" i="1"/>
  <c r="D1184" i="1"/>
  <c r="O1183" i="1"/>
  <c r="L1183" i="1"/>
  <c r="J1183" i="1"/>
  <c r="I1183" i="1"/>
  <c r="H1183" i="1"/>
  <c r="G1183" i="1"/>
  <c r="D1183" i="1"/>
  <c r="O1182" i="1"/>
  <c r="L1182" i="1"/>
  <c r="J1182" i="1"/>
  <c r="I1182" i="1"/>
  <c r="H1182" i="1"/>
  <c r="G1182" i="1"/>
  <c r="D1182" i="1"/>
  <c r="O1181" i="1"/>
  <c r="L1181" i="1"/>
  <c r="J1181" i="1"/>
  <c r="I1181" i="1"/>
  <c r="H1181" i="1"/>
  <c r="G1181" i="1"/>
  <c r="D1181" i="1"/>
  <c r="O1180" i="1"/>
  <c r="L1180" i="1"/>
  <c r="J1180" i="1"/>
  <c r="I1180" i="1"/>
  <c r="H1180" i="1"/>
  <c r="G1180" i="1"/>
  <c r="D1180" i="1"/>
  <c r="O1179" i="1"/>
  <c r="L1179" i="1"/>
  <c r="J1179" i="1"/>
  <c r="I1179" i="1"/>
  <c r="H1179" i="1"/>
  <c r="G1179" i="1"/>
  <c r="D1179" i="1"/>
  <c r="O1178" i="1"/>
  <c r="L1178" i="1"/>
  <c r="J1178" i="1"/>
  <c r="I1178" i="1"/>
  <c r="H1178" i="1"/>
  <c r="G1178" i="1"/>
  <c r="D1178" i="1"/>
  <c r="O1177" i="1"/>
  <c r="L1177" i="1"/>
  <c r="J1177" i="1"/>
  <c r="I1177" i="1"/>
  <c r="H1177" i="1"/>
  <c r="G1177" i="1"/>
  <c r="D1177" i="1"/>
  <c r="O1176" i="1"/>
  <c r="L1176" i="1"/>
  <c r="J1176" i="1"/>
  <c r="I1176" i="1"/>
  <c r="H1176" i="1"/>
  <c r="G1176" i="1"/>
  <c r="D1176" i="1"/>
  <c r="O1175" i="1"/>
  <c r="L1175" i="1"/>
  <c r="J1175" i="1"/>
  <c r="I1175" i="1"/>
  <c r="H1175" i="1"/>
  <c r="G1175" i="1"/>
  <c r="D1175" i="1"/>
  <c r="O1174" i="1"/>
  <c r="L1174" i="1"/>
  <c r="J1174" i="1"/>
  <c r="I1174" i="1"/>
  <c r="H1174" i="1"/>
  <c r="G1174" i="1"/>
  <c r="D1174" i="1"/>
  <c r="O1173" i="1"/>
  <c r="L1173" i="1"/>
  <c r="J1173" i="1"/>
  <c r="I1173" i="1"/>
  <c r="H1173" i="1"/>
  <c r="G1173" i="1"/>
  <c r="D1173" i="1"/>
  <c r="O1172" i="1"/>
  <c r="L1172" i="1"/>
  <c r="J1172" i="1"/>
  <c r="I1172" i="1"/>
  <c r="H1172" i="1"/>
  <c r="G1172" i="1"/>
  <c r="D1172" i="1"/>
  <c r="O1171" i="1"/>
  <c r="L1171" i="1"/>
  <c r="J1171" i="1"/>
  <c r="I1171" i="1"/>
  <c r="H1171" i="1"/>
  <c r="G1171" i="1"/>
  <c r="D1171" i="1"/>
  <c r="O1170" i="1"/>
  <c r="L1170" i="1"/>
  <c r="J1170" i="1"/>
  <c r="I1170" i="1"/>
  <c r="H1170" i="1"/>
  <c r="G1170" i="1"/>
  <c r="D1170" i="1"/>
  <c r="O1169" i="1"/>
  <c r="L1169" i="1"/>
  <c r="J1169" i="1"/>
  <c r="I1169" i="1"/>
  <c r="H1169" i="1"/>
  <c r="G1169" i="1"/>
  <c r="D1169" i="1"/>
  <c r="O1168" i="1"/>
  <c r="L1168" i="1"/>
  <c r="J1168" i="1"/>
  <c r="I1168" i="1"/>
  <c r="H1168" i="1"/>
  <c r="G1168" i="1"/>
  <c r="D1168" i="1"/>
  <c r="O1167" i="1"/>
  <c r="L1167" i="1"/>
  <c r="J1167" i="1"/>
  <c r="I1167" i="1"/>
  <c r="H1167" i="1"/>
  <c r="G1167" i="1"/>
  <c r="D1167" i="1"/>
  <c r="O1166" i="1"/>
  <c r="L1166" i="1"/>
  <c r="J1166" i="1"/>
  <c r="I1166" i="1"/>
  <c r="H1166" i="1"/>
  <c r="G1166" i="1"/>
  <c r="D1166" i="1"/>
  <c r="O1165" i="1"/>
  <c r="L1165" i="1"/>
  <c r="J1165" i="1"/>
  <c r="I1165" i="1"/>
  <c r="H1165" i="1"/>
  <c r="G1165" i="1"/>
  <c r="D1165" i="1"/>
  <c r="O1164" i="1"/>
  <c r="L1164" i="1"/>
  <c r="J1164" i="1"/>
  <c r="I1164" i="1"/>
  <c r="H1164" i="1"/>
  <c r="G1164" i="1"/>
  <c r="D1164" i="1"/>
  <c r="O1163" i="1"/>
  <c r="L1163" i="1"/>
  <c r="J1163" i="1"/>
  <c r="I1163" i="1"/>
  <c r="H1163" i="1"/>
  <c r="G1163" i="1"/>
  <c r="D1163" i="1"/>
  <c r="O1162" i="1"/>
  <c r="L1162" i="1"/>
  <c r="J1162" i="1"/>
  <c r="I1162" i="1"/>
  <c r="H1162" i="1"/>
  <c r="G1162" i="1"/>
  <c r="D1162" i="1"/>
  <c r="O1161" i="1"/>
  <c r="L1161" i="1"/>
  <c r="J1161" i="1"/>
  <c r="I1161" i="1"/>
  <c r="H1161" i="1"/>
  <c r="G1161" i="1"/>
  <c r="D1161" i="1"/>
  <c r="O1160" i="1"/>
  <c r="L1160" i="1"/>
  <c r="J1160" i="1"/>
  <c r="I1160" i="1"/>
  <c r="H1160" i="1"/>
  <c r="G1160" i="1"/>
  <c r="D1160" i="1"/>
  <c r="O1159" i="1"/>
  <c r="L1159" i="1"/>
  <c r="J1159" i="1"/>
  <c r="I1159" i="1"/>
  <c r="H1159" i="1"/>
  <c r="G1159" i="1"/>
  <c r="D1159" i="1"/>
  <c r="O1158" i="1"/>
  <c r="L1158" i="1"/>
  <c r="J1158" i="1"/>
  <c r="I1158" i="1"/>
  <c r="H1158" i="1"/>
  <c r="G1158" i="1"/>
  <c r="D1158" i="1"/>
  <c r="O1157" i="1"/>
  <c r="L1157" i="1"/>
  <c r="J1157" i="1"/>
  <c r="I1157" i="1"/>
  <c r="H1157" i="1"/>
  <c r="G1157" i="1"/>
  <c r="D1157" i="1"/>
  <c r="O1156" i="1"/>
  <c r="L1156" i="1"/>
  <c r="J1156" i="1"/>
  <c r="I1156" i="1"/>
  <c r="H1156" i="1"/>
  <c r="G1156" i="1"/>
  <c r="D1156" i="1"/>
  <c r="O1155" i="1"/>
  <c r="L1155" i="1"/>
  <c r="J1155" i="1"/>
  <c r="I1155" i="1"/>
  <c r="H1155" i="1"/>
  <c r="G1155" i="1"/>
  <c r="D1155" i="1"/>
  <c r="O1154" i="1"/>
  <c r="L1154" i="1"/>
  <c r="J1154" i="1"/>
  <c r="I1154" i="1"/>
  <c r="H1154" i="1"/>
  <c r="G1154" i="1"/>
  <c r="D1154" i="1"/>
  <c r="O1153" i="1"/>
  <c r="L1153" i="1"/>
  <c r="J1153" i="1"/>
  <c r="I1153" i="1"/>
  <c r="H1153" i="1"/>
  <c r="G1153" i="1"/>
  <c r="D1153" i="1"/>
  <c r="O1152" i="1"/>
  <c r="L1152" i="1"/>
  <c r="J1152" i="1"/>
  <c r="I1152" i="1"/>
  <c r="H1152" i="1"/>
  <c r="G1152" i="1"/>
  <c r="D1152" i="1"/>
  <c r="O1151" i="1"/>
  <c r="L1151" i="1"/>
  <c r="J1151" i="1"/>
  <c r="I1151" i="1"/>
  <c r="H1151" i="1"/>
  <c r="G1151" i="1"/>
  <c r="D1151" i="1"/>
  <c r="O1150" i="1"/>
  <c r="L1150" i="1"/>
  <c r="J1150" i="1"/>
  <c r="I1150" i="1"/>
  <c r="H1150" i="1"/>
  <c r="G1150" i="1"/>
  <c r="D1150" i="1"/>
  <c r="O1149" i="1"/>
  <c r="L1149" i="1"/>
  <c r="J1149" i="1"/>
  <c r="I1149" i="1"/>
  <c r="H1149" i="1"/>
  <c r="G1149" i="1"/>
  <c r="D1149" i="1"/>
  <c r="O1148" i="1"/>
  <c r="L1148" i="1"/>
  <c r="J1148" i="1"/>
  <c r="I1148" i="1"/>
  <c r="H1148" i="1"/>
  <c r="G1148" i="1"/>
  <c r="D1148" i="1"/>
  <c r="O1147" i="1"/>
  <c r="L1147" i="1"/>
  <c r="J1147" i="1"/>
  <c r="I1147" i="1"/>
  <c r="H1147" i="1"/>
  <c r="G1147" i="1"/>
  <c r="D1147" i="1"/>
  <c r="O1146" i="1"/>
  <c r="L1146" i="1"/>
  <c r="J1146" i="1"/>
  <c r="I1146" i="1"/>
  <c r="H1146" i="1"/>
  <c r="G1146" i="1"/>
  <c r="D1146" i="1"/>
  <c r="O1145" i="1"/>
  <c r="L1145" i="1"/>
  <c r="J1145" i="1"/>
  <c r="I1145" i="1"/>
  <c r="H1145" i="1"/>
  <c r="G1145" i="1"/>
  <c r="D1145" i="1"/>
  <c r="O1144" i="1"/>
  <c r="L1144" i="1"/>
  <c r="J1144" i="1"/>
  <c r="I1144" i="1"/>
  <c r="H1144" i="1"/>
  <c r="G1144" i="1"/>
  <c r="D1144" i="1"/>
  <c r="O1143" i="1"/>
  <c r="L1143" i="1"/>
  <c r="J1143" i="1"/>
  <c r="I1143" i="1"/>
  <c r="H1143" i="1"/>
  <c r="G1143" i="1"/>
  <c r="D1143" i="1"/>
  <c r="O1142" i="1"/>
  <c r="L1142" i="1"/>
  <c r="J1142" i="1"/>
  <c r="I1142" i="1"/>
  <c r="H1142" i="1"/>
  <c r="G1142" i="1"/>
  <c r="D1142" i="1"/>
  <c r="O1141" i="1"/>
  <c r="L1141" i="1"/>
  <c r="J1141" i="1"/>
  <c r="I1141" i="1"/>
  <c r="H1141" i="1"/>
  <c r="G1141" i="1"/>
  <c r="D1141" i="1"/>
  <c r="O1140" i="1"/>
  <c r="L1140" i="1"/>
  <c r="J1140" i="1"/>
  <c r="I1140" i="1"/>
  <c r="H1140" i="1"/>
  <c r="G1140" i="1"/>
  <c r="D1140" i="1"/>
  <c r="O1139" i="1"/>
  <c r="L1139" i="1"/>
  <c r="J1139" i="1"/>
  <c r="I1139" i="1"/>
  <c r="H1139" i="1"/>
  <c r="G1139" i="1"/>
  <c r="D1139" i="1"/>
  <c r="O1138" i="1"/>
  <c r="L1138" i="1"/>
  <c r="J1138" i="1"/>
  <c r="I1138" i="1"/>
  <c r="H1138" i="1"/>
  <c r="G1138" i="1"/>
  <c r="D1138" i="1"/>
  <c r="O1137" i="1"/>
  <c r="L1137" i="1"/>
  <c r="J1137" i="1"/>
  <c r="I1137" i="1"/>
  <c r="H1137" i="1"/>
  <c r="G1137" i="1"/>
  <c r="D1137" i="1"/>
  <c r="O1136" i="1"/>
  <c r="L1136" i="1"/>
  <c r="J1136" i="1"/>
  <c r="I1136" i="1"/>
  <c r="H1136" i="1"/>
  <c r="G1136" i="1"/>
  <c r="D1136" i="1"/>
  <c r="O1135" i="1"/>
  <c r="L1135" i="1"/>
  <c r="J1135" i="1"/>
  <c r="I1135" i="1"/>
  <c r="H1135" i="1"/>
  <c r="G1135" i="1"/>
  <c r="D1135" i="1"/>
  <c r="O1134" i="1"/>
  <c r="L1134" i="1"/>
  <c r="J1134" i="1"/>
  <c r="I1134" i="1"/>
  <c r="H1134" i="1"/>
  <c r="G1134" i="1"/>
  <c r="D1134" i="1"/>
  <c r="O1133" i="1"/>
  <c r="L1133" i="1"/>
  <c r="J1133" i="1"/>
  <c r="I1133" i="1"/>
  <c r="H1133" i="1"/>
  <c r="G1133" i="1"/>
  <c r="D1133" i="1"/>
  <c r="O1132" i="1"/>
  <c r="L1132" i="1"/>
  <c r="J1132" i="1"/>
  <c r="I1132" i="1"/>
  <c r="H1132" i="1"/>
  <c r="G1132" i="1"/>
  <c r="D1132" i="1"/>
  <c r="O1131" i="1"/>
  <c r="L1131" i="1"/>
  <c r="J1131" i="1"/>
  <c r="I1131" i="1"/>
  <c r="H1131" i="1"/>
  <c r="G1131" i="1"/>
  <c r="D1131" i="1"/>
  <c r="O1130" i="1"/>
  <c r="L1130" i="1"/>
  <c r="J1130" i="1"/>
  <c r="I1130" i="1"/>
  <c r="H1130" i="1"/>
  <c r="G1130" i="1"/>
  <c r="D1130" i="1"/>
  <c r="O1129" i="1"/>
  <c r="L1129" i="1"/>
  <c r="J1129" i="1"/>
  <c r="I1129" i="1"/>
  <c r="H1129" i="1"/>
  <c r="G1129" i="1"/>
  <c r="D1129" i="1"/>
  <c r="O1128" i="1"/>
  <c r="L1128" i="1"/>
  <c r="J1128" i="1"/>
  <c r="I1128" i="1"/>
  <c r="H1128" i="1"/>
  <c r="G1128" i="1"/>
  <c r="D1128" i="1"/>
  <c r="O1127" i="1"/>
  <c r="L1127" i="1"/>
  <c r="J1127" i="1"/>
  <c r="I1127" i="1"/>
  <c r="H1127" i="1"/>
  <c r="G1127" i="1"/>
  <c r="D1127" i="1"/>
  <c r="O1126" i="1"/>
  <c r="L1126" i="1"/>
  <c r="J1126" i="1"/>
  <c r="I1126" i="1"/>
  <c r="H1126" i="1"/>
  <c r="G1126" i="1"/>
  <c r="D1126" i="1"/>
  <c r="O1125" i="1"/>
  <c r="L1125" i="1"/>
  <c r="J1125" i="1"/>
  <c r="I1125" i="1"/>
  <c r="H1125" i="1"/>
  <c r="G1125" i="1"/>
  <c r="D1125" i="1"/>
  <c r="O1124" i="1"/>
  <c r="L1124" i="1"/>
  <c r="J1124" i="1"/>
  <c r="I1124" i="1"/>
  <c r="H1124" i="1"/>
  <c r="G1124" i="1"/>
  <c r="D1124" i="1"/>
  <c r="O1123" i="1"/>
  <c r="L1123" i="1"/>
  <c r="J1123" i="1"/>
  <c r="I1123" i="1"/>
  <c r="H1123" i="1"/>
  <c r="G1123" i="1"/>
  <c r="D1123" i="1"/>
  <c r="O1122" i="1"/>
  <c r="L1122" i="1"/>
  <c r="J1122" i="1"/>
  <c r="I1122" i="1"/>
  <c r="H1122" i="1"/>
  <c r="G1122" i="1"/>
  <c r="D1122" i="1"/>
  <c r="O1121" i="1"/>
  <c r="L1121" i="1"/>
  <c r="J1121" i="1"/>
  <c r="I1121" i="1"/>
  <c r="H1121" i="1"/>
  <c r="G1121" i="1"/>
  <c r="D1121" i="1"/>
  <c r="O1120" i="1"/>
  <c r="L1120" i="1"/>
  <c r="J1120" i="1"/>
  <c r="I1120" i="1"/>
  <c r="H1120" i="1"/>
  <c r="G1120" i="1"/>
  <c r="D1120" i="1"/>
  <c r="O1119" i="1"/>
  <c r="L1119" i="1"/>
  <c r="J1119" i="1"/>
  <c r="I1119" i="1"/>
  <c r="H1119" i="1"/>
  <c r="G1119" i="1"/>
  <c r="D1119" i="1"/>
  <c r="O1118" i="1"/>
  <c r="L1118" i="1"/>
  <c r="J1118" i="1"/>
  <c r="I1118" i="1"/>
  <c r="H1118" i="1"/>
  <c r="G1118" i="1"/>
  <c r="D1118" i="1"/>
  <c r="O1117" i="1"/>
  <c r="L1117" i="1"/>
  <c r="J1117" i="1"/>
  <c r="I1117" i="1"/>
  <c r="H1117" i="1"/>
  <c r="G1117" i="1"/>
  <c r="D1117" i="1"/>
  <c r="O1116" i="1"/>
  <c r="L1116" i="1"/>
  <c r="J1116" i="1"/>
  <c r="I1116" i="1"/>
  <c r="H1116" i="1"/>
  <c r="G1116" i="1"/>
  <c r="D1116" i="1"/>
  <c r="O1115" i="1"/>
  <c r="L1115" i="1"/>
  <c r="J1115" i="1"/>
  <c r="I1115" i="1"/>
  <c r="H1115" i="1"/>
  <c r="G1115" i="1"/>
  <c r="D1115" i="1"/>
  <c r="O1114" i="1"/>
  <c r="L1114" i="1"/>
  <c r="J1114" i="1"/>
  <c r="I1114" i="1"/>
  <c r="H1114" i="1"/>
  <c r="G1114" i="1"/>
  <c r="D1114" i="1"/>
  <c r="O1113" i="1"/>
  <c r="L1113" i="1"/>
  <c r="J1113" i="1"/>
  <c r="I1113" i="1"/>
  <c r="H1113" i="1"/>
  <c r="G1113" i="1"/>
  <c r="D1113" i="1"/>
  <c r="O1112" i="1"/>
  <c r="L1112" i="1"/>
  <c r="J1112" i="1"/>
  <c r="I1112" i="1"/>
  <c r="H1112" i="1"/>
  <c r="G1112" i="1"/>
  <c r="D1112" i="1"/>
  <c r="O1111" i="1"/>
  <c r="L1111" i="1"/>
  <c r="J1111" i="1"/>
  <c r="I1111" i="1"/>
  <c r="H1111" i="1"/>
  <c r="G1111" i="1"/>
  <c r="D1111" i="1"/>
  <c r="O1110" i="1"/>
  <c r="L1110" i="1"/>
  <c r="J1110" i="1"/>
  <c r="I1110" i="1"/>
  <c r="H1110" i="1"/>
  <c r="G1110" i="1"/>
  <c r="D1110" i="1"/>
  <c r="O1109" i="1"/>
  <c r="L1109" i="1"/>
  <c r="J1109" i="1"/>
  <c r="I1109" i="1"/>
  <c r="H1109" i="1"/>
  <c r="G1109" i="1"/>
  <c r="D1109" i="1"/>
  <c r="O1108" i="1"/>
  <c r="L1108" i="1"/>
  <c r="J1108" i="1"/>
  <c r="I1108" i="1"/>
  <c r="H1108" i="1"/>
  <c r="G1108" i="1"/>
  <c r="D1108" i="1"/>
  <c r="O1107" i="1"/>
  <c r="L1107" i="1"/>
  <c r="J1107" i="1"/>
  <c r="I1107" i="1"/>
  <c r="H1107" i="1"/>
  <c r="G1107" i="1"/>
  <c r="D1107" i="1"/>
  <c r="O1106" i="1"/>
  <c r="L1106" i="1"/>
  <c r="J1106" i="1"/>
  <c r="I1106" i="1"/>
  <c r="H1106" i="1"/>
  <c r="G1106" i="1"/>
  <c r="D1106" i="1"/>
  <c r="O1105" i="1"/>
  <c r="L1105" i="1"/>
  <c r="J1105" i="1"/>
  <c r="I1105" i="1"/>
  <c r="H1105" i="1"/>
  <c r="G1105" i="1"/>
  <c r="D1105" i="1"/>
  <c r="O1104" i="1"/>
  <c r="L1104" i="1"/>
  <c r="J1104" i="1"/>
  <c r="I1104" i="1"/>
  <c r="H1104" i="1"/>
  <c r="G1104" i="1"/>
  <c r="D1104" i="1"/>
  <c r="O1103" i="1"/>
  <c r="L1103" i="1"/>
  <c r="J1103" i="1"/>
  <c r="I1103" i="1"/>
  <c r="H1103" i="1"/>
  <c r="G1103" i="1"/>
  <c r="D1103" i="1"/>
  <c r="O1102" i="1"/>
  <c r="L1102" i="1"/>
  <c r="J1102" i="1"/>
  <c r="I1102" i="1"/>
  <c r="H1102" i="1"/>
  <c r="G1102" i="1"/>
  <c r="D1102" i="1"/>
  <c r="O1101" i="1"/>
  <c r="L1101" i="1"/>
  <c r="J1101" i="1"/>
  <c r="I1101" i="1"/>
  <c r="H1101" i="1"/>
  <c r="G1101" i="1"/>
  <c r="D1101" i="1"/>
  <c r="O1100" i="1"/>
  <c r="L1100" i="1"/>
  <c r="J1100" i="1"/>
  <c r="I1100" i="1"/>
  <c r="H1100" i="1"/>
  <c r="G1100" i="1"/>
  <c r="D1100" i="1"/>
  <c r="O1099" i="1"/>
  <c r="L1099" i="1"/>
  <c r="J1099" i="1"/>
  <c r="I1099" i="1"/>
  <c r="H1099" i="1"/>
  <c r="G1099" i="1"/>
  <c r="D1099" i="1"/>
  <c r="O1098" i="1"/>
  <c r="L1098" i="1"/>
  <c r="J1098" i="1"/>
  <c r="I1098" i="1"/>
  <c r="H1098" i="1"/>
  <c r="G1098" i="1"/>
  <c r="D1098" i="1"/>
  <c r="O1097" i="1"/>
  <c r="L1097" i="1"/>
  <c r="J1097" i="1"/>
  <c r="I1097" i="1"/>
  <c r="H1097" i="1"/>
  <c r="G1097" i="1"/>
  <c r="D1097" i="1"/>
  <c r="O1096" i="1"/>
  <c r="L1096" i="1"/>
  <c r="J1096" i="1"/>
  <c r="I1096" i="1"/>
  <c r="H1096" i="1"/>
  <c r="G1096" i="1"/>
  <c r="D1096" i="1"/>
  <c r="O1095" i="1"/>
  <c r="L1095" i="1"/>
  <c r="J1095" i="1"/>
  <c r="I1095" i="1"/>
  <c r="H1095" i="1"/>
  <c r="G1095" i="1"/>
  <c r="D1095" i="1"/>
  <c r="O1094" i="1"/>
  <c r="L1094" i="1"/>
  <c r="J1094" i="1"/>
  <c r="I1094" i="1"/>
  <c r="H1094" i="1"/>
  <c r="G1094" i="1"/>
  <c r="D1094" i="1"/>
  <c r="O1093" i="1"/>
  <c r="L1093" i="1"/>
  <c r="J1093" i="1"/>
  <c r="I1093" i="1"/>
  <c r="H1093" i="1"/>
  <c r="G1093" i="1"/>
  <c r="D1093" i="1"/>
  <c r="O1092" i="1"/>
  <c r="L1092" i="1"/>
  <c r="J1092" i="1"/>
  <c r="I1092" i="1"/>
  <c r="H1092" i="1"/>
  <c r="G1092" i="1"/>
  <c r="D1092" i="1"/>
  <c r="O1091" i="1"/>
  <c r="L1091" i="1"/>
  <c r="J1091" i="1"/>
  <c r="I1091" i="1"/>
  <c r="H1091" i="1"/>
  <c r="G1091" i="1"/>
  <c r="D1091" i="1"/>
  <c r="O1090" i="1"/>
  <c r="L1090" i="1"/>
  <c r="J1090" i="1"/>
  <c r="I1090" i="1"/>
  <c r="H1090" i="1"/>
  <c r="G1090" i="1"/>
  <c r="D1090" i="1"/>
  <c r="O1089" i="1"/>
  <c r="L1089" i="1"/>
  <c r="J1089" i="1"/>
  <c r="I1089" i="1"/>
  <c r="H1089" i="1"/>
  <c r="G1089" i="1"/>
  <c r="D1089" i="1"/>
  <c r="O1088" i="1"/>
  <c r="L1088" i="1"/>
  <c r="J1088" i="1"/>
  <c r="I1088" i="1"/>
  <c r="H1088" i="1"/>
  <c r="G1088" i="1"/>
  <c r="D1088" i="1"/>
  <c r="O1087" i="1"/>
  <c r="L1087" i="1"/>
  <c r="J1087" i="1"/>
  <c r="I1087" i="1"/>
  <c r="H1087" i="1"/>
  <c r="G1087" i="1"/>
  <c r="D1087" i="1"/>
  <c r="O1086" i="1"/>
  <c r="L1086" i="1"/>
  <c r="J1086" i="1"/>
  <c r="I1086" i="1"/>
  <c r="H1086" i="1"/>
  <c r="G1086" i="1"/>
  <c r="D1086" i="1"/>
  <c r="O1085" i="1"/>
  <c r="L1085" i="1"/>
  <c r="J1085" i="1"/>
  <c r="I1085" i="1"/>
  <c r="H1085" i="1"/>
  <c r="G1085" i="1"/>
  <c r="D1085" i="1"/>
  <c r="O1084" i="1"/>
  <c r="L1084" i="1"/>
  <c r="J1084" i="1"/>
  <c r="I1084" i="1"/>
  <c r="H1084" i="1"/>
  <c r="G1084" i="1"/>
  <c r="D1084" i="1"/>
  <c r="O1083" i="1"/>
  <c r="L1083" i="1"/>
  <c r="J1083" i="1"/>
  <c r="I1083" i="1"/>
  <c r="H1083" i="1"/>
  <c r="G1083" i="1"/>
  <c r="D1083" i="1"/>
  <c r="O1082" i="1"/>
  <c r="L1082" i="1"/>
  <c r="J1082" i="1"/>
  <c r="I1082" i="1"/>
  <c r="H1082" i="1"/>
  <c r="G1082" i="1"/>
  <c r="D1082" i="1"/>
  <c r="O1081" i="1"/>
  <c r="L1081" i="1"/>
  <c r="J1081" i="1"/>
  <c r="I1081" i="1"/>
  <c r="H1081" i="1"/>
  <c r="G1081" i="1"/>
  <c r="D1081" i="1"/>
  <c r="O1080" i="1"/>
  <c r="L1080" i="1"/>
  <c r="J1080" i="1"/>
  <c r="I1080" i="1"/>
  <c r="H1080" i="1"/>
  <c r="G1080" i="1"/>
  <c r="D1080" i="1"/>
  <c r="O1079" i="1"/>
  <c r="L1079" i="1"/>
  <c r="J1079" i="1"/>
  <c r="I1079" i="1"/>
  <c r="H1079" i="1"/>
  <c r="G1079" i="1"/>
  <c r="D1079" i="1"/>
  <c r="O1078" i="1"/>
  <c r="L1078" i="1"/>
  <c r="J1078" i="1"/>
  <c r="I1078" i="1"/>
  <c r="H1078" i="1"/>
  <c r="G1078" i="1"/>
  <c r="D1078" i="1"/>
  <c r="O1077" i="1"/>
  <c r="L1077" i="1"/>
  <c r="J1077" i="1"/>
  <c r="I1077" i="1"/>
  <c r="H1077" i="1"/>
  <c r="G1077" i="1"/>
  <c r="D1077" i="1"/>
  <c r="O1076" i="1"/>
  <c r="L1076" i="1"/>
  <c r="J1076" i="1"/>
  <c r="I1076" i="1"/>
  <c r="H1076" i="1"/>
  <c r="G1076" i="1"/>
  <c r="D1076" i="1"/>
  <c r="O1075" i="1"/>
  <c r="L1075" i="1"/>
  <c r="J1075" i="1"/>
  <c r="I1075" i="1"/>
  <c r="H1075" i="1"/>
  <c r="G1075" i="1"/>
  <c r="D1075" i="1"/>
  <c r="O1074" i="1"/>
  <c r="L1074" i="1"/>
  <c r="J1074" i="1"/>
  <c r="I1074" i="1"/>
  <c r="H1074" i="1"/>
  <c r="G1074" i="1"/>
  <c r="D1074" i="1"/>
  <c r="O1073" i="1"/>
  <c r="L1073" i="1"/>
  <c r="J1073" i="1"/>
  <c r="I1073" i="1"/>
  <c r="H1073" i="1"/>
  <c r="G1073" i="1"/>
  <c r="D1073" i="1"/>
  <c r="O1072" i="1"/>
  <c r="L1072" i="1"/>
  <c r="J1072" i="1"/>
  <c r="I1072" i="1"/>
  <c r="H1072" i="1"/>
  <c r="G1072" i="1"/>
  <c r="D1072" i="1"/>
  <c r="O1071" i="1"/>
  <c r="L1071" i="1"/>
  <c r="J1071" i="1"/>
  <c r="I1071" i="1"/>
  <c r="H1071" i="1"/>
  <c r="G1071" i="1"/>
  <c r="D1071" i="1"/>
  <c r="O1070" i="1"/>
  <c r="L1070" i="1"/>
  <c r="J1070" i="1"/>
  <c r="I1070" i="1"/>
  <c r="H1070" i="1"/>
  <c r="G1070" i="1"/>
  <c r="D1070" i="1"/>
  <c r="O1069" i="1"/>
  <c r="L1069" i="1"/>
  <c r="J1069" i="1"/>
  <c r="I1069" i="1"/>
  <c r="H1069" i="1"/>
  <c r="G1069" i="1"/>
  <c r="D1069" i="1"/>
  <c r="O1068" i="1"/>
  <c r="L1068" i="1"/>
  <c r="J1068" i="1"/>
  <c r="I1068" i="1"/>
  <c r="H1068" i="1"/>
  <c r="G1068" i="1"/>
  <c r="D1068" i="1"/>
  <c r="O1067" i="1"/>
  <c r="L1067" i="1"/>
  <c r="J1067" i="1"/>
  <c r="I1067" i="1"/>
  <c r="H1067" i="1"/>
  <c r="G1067" i="1"/>
  <c r="D1067" i="1"/>
  <c r="O1066" i="1"/>
  <c r="L1066" i="1"/>
  <c r="J1066" i="1"/>
  <c r="I1066" i="1"/>
  <c r="H1066" i="1"/>
  <c r="G1066" i="1"/>
  <c r="D1066" i="1"/>
  <c r="O1065" i="1"/>
  <c r="L1065" i="1"/>
  <c r="J1065" i="1"/>
  <c r="I1065" i="1"/>
  <c r="H1065" i="1"/>
  <c r="G1065" i="1"/>
  <c r="D1065" i="1"/>
  <c r="O1064" i="1"/>
  <c r="L1064" i="1"/>
  <c r="J1064" i="1"/>
  <c r="I1064" i="1"/>
  <c r="H1064" i="1"/>
  <c r="G1064" i="1"/>
  <c r="D1064" i="1"/>
  <c r="O1063" i="1"/>
  <c r="L1063" i="1"/>
  <c r="J1063" i="1"/>
  <c r="I1063" i="1"/>
  <c r="H1063" i="1"/>
  <c r="G1063" i="1"/>
  <c r="D1063" i="1"/>
  <c r="O1062" i="1"/>
  <c r="L1062" i="1"/>
  <c r="J1062" i="1"/>
  <c r="I1062" i="1"/>
  <c r="H1062" i="1"/>
  <c r="G1062" i="1"/>
  <c r="D1062" i="1"/>
  <c r="O1061" i="1"/>
  <c r="L1061" i="1"/>
  <c r="J1061" i="1"/>
  <c r="I1061" i="1"/>
  <c r="H1061" i="1"/>
  <c r="G1061" i="1"/>
  <c r="D1061" i="1"/>
  <c r="O1060" i="1"/>
  <c r="L1060" i="1"/>
  <c r="J1060" i="1"/>
  <c r="I1060" i="1"/>
  <c r="H1060" i="1"/>
  <c r="G1060" i="1"/>
  <c r="D1060" i="1"/>
  <c r="O1059" i="1"/>
  <c r="L1059" i="1"/>
  <c r="J1059" i="1"/>
  <c r="I1059" i="1"/>
  <c r="H1059" i="1"/>
  <c r="G1059" i="1"/>
  <c r="D1059" i="1"/>
  <c r="O1058" i="1"/>
  <c r="L1058" i="1"/>
  <c r="J1058" i="1"/>
  <c r="I1058" i="1"/>
  <c r="H1058" i="1"/>
  <c r="G1058" i="1"/>
  <c r="D1058" i="1"/>
  <c r="O1057" i="1"/>
  <c r="L1057" i="1"/>
  <c r="J1057" i="1"/>
  <c r="I1057" i="1"/>
  <c r="H1057" i="1"/>
  <c r="G1057" i="1"/>
  <c r="D1057" i="1"/>
  <c r="O1056" i="1"/>
  <c r="L1056" i="1"/>
  <c r="J1056" i="1"/>
  <c r="I1056" i="1"/>
  <c r="H1056" i="1"/>
  <c r="G1056" i="1"/>
  <c r="D1056" i="1"/>
  <c r="O1055" i="1"/>
  <c r="L1055" i="1"/>
  <c r="J1055" i="1"/>
  <c r="I1055" i="1"/>
  <c r="H1055" i="1"/>
  <c r="G1055" i="1"/>
  <c r="D1055" i="1"/>
  <c r="O1054" i="1"/>
  <c r="L1054" i="1"/>
  <c r="J1054" i="1"/>
  <c r="I1054" i="1"/>
  <c r="H1054" i="1"/>
  <c r="G1054" i="1"/>
  <c r="D1054" i="1"/>
  <c r="O1053" i="1"/>
  <c r="L1053" i="1"/>
  <c r="J1053" i="1"/>
  <c r="I1053" i="1"/>
  <c r="H1053" i="1"/>
  <c r="G1053" i="1"/>
  <c r="D1053" i="1"/>
  <c r="O1052" i="1"/>
  <c r="L1052" i="1"/>
  <c r="J1052" i="1"/>
  <c r="I1052" i="1"/>
  <c r="H1052" i="1"/>
  <c r="G1052" i="1"/>
  <c r="D1052" i="1"/>
  <c r="O1051" i="1"/>
  <c r="L1051" i="1"/>
  <c r="J1051" i="1"/>
  <c r="I1051" i="1"/>
  <c r="H1051" i="1"/>
  <c r="G1051" i="1"/>
  <c r="D1051" i="1"/>
  <c r="O1050" i="1"/>
  <c r="L1050" i="1"/>
  <c r="J1050" i="1"/>
  <c r="I1050" i="1"/>
  <c r="H1050" i="1"/>
  <c r="G1050" i="1"/>
  <c r="D1050" i="1"/>
  <c r="O1049" i="1"/>
  <c r="L1049" i="1"/>
  <c r="J1049" i="1"/>
  <c r="I1049" i="1"/>
  <c r="H1049" i="1"/>
  <c r="G1049" i="1"/>
  <c r="D1049" i="1"/>
  <c r="O1048" i="1"/>
  <c r="L1048" i="1"/>
  <c r="J1048" i="1"/>
  <c r="I1048" i="1"/>
  <c r="H1048" i="1"/>
  <c r="G1048" i="1"/>
  <c r="D1048" i="1"/>
  <c r="O1047" i="1"/>
  <c r="L1047" i="1"/>
  <c r="J1047" i="1"/>
  <c r="I1047" i="1"/>
  <c r="H1047" i="1"/>
  <c r="G1047" i="1"/>
  <c r="D1047" i="1"/>
  <c r="O1046" i="1"/>
  <c r="L1046" i="1"/>
  <c r="J1046" i="1"/>
  <c r="I1046" i="1"/>
  <c r="H1046" i="1"/>
  <c r="G1046" i="1"/>
  <c r="D1046" i="1"/>
  <c r="O1045" i="1"/>
  <c r="L1045" i="1"/>
  <c r="J1045" i="1"/>
  <c r="I1045" i="1"/>
  <c r="H1045" i="1"/>
  <c r="G1045" i="1"/>
  <c r="D1045" i="1"/>
  <c r="O1044" i="1"/>
  <c r="L1044" i="1"/>
  <c r="J1044" i="1"/>
  <c r="I1044" i="1"/>
  <c r="H1044" i="1"/>
  <c r="G1044" i="1"/>
  <c r="D1044" i="1"/>
  <c r="O1043" i="1"/>
  <c r="L1043" i="1"/>
  <c r="J1043" i="1"/>
  <c r="I1043" i="1"/>
  <c r="H1043" i="1"/>
  <c r="G1043" i="1"/>
  <c r="D1043" i="1"/>
  <c r="O1042" i="1"/>
  <c r="L1042" i="1"/>
  <c r="J1042" i="1"/>
  <c r="I1042" i="1"/>
  <c r="H1042" i="1"/>
  <c r="G1042" i="1"/>
  <c r="D1042" i="1"/>
  <c r="O1041" i="1"/>
  <c r="L1041" i="1"/>
  <c r="J1041" i="1"/>
  <c r="I1041" i="1"/>
  <c r="H1041" i="1"/>
  <c r="G1041" i="1"/>
  <c r="D1041" i="1"/>
  <c r="O1040" i="1"/>
  <c r="L1040" i="1"/>
  <c r="J1040" i="1"/>
  <c r="I1040" i="1"/>
  <c r="H1040" i="1"/>
  <c r="G1040" i="1"/>
  <c r="D1040" i="1"/>
  <c r="O1039" i="1"/>
  <c r="L1039" i="1"/>
  <c r="J1039" i="1"/>
  <c r="I1039" i="1"/>
  <c r="H1039" i="1"/>
  <c r="G1039" i="1"/>
  <c r="D1039" i="1"/>
  <c r="O1038" i="1"/>
  <c r="L1038" i="1"/>
  <c r="J1038" i="1"/>
  <c r="I1038" i="1"/>
  <c r="H1038" i="1"/>
  <c r="G1038" i="1"/>
  <c r="D1038" i="1"/>
  <c r="O1037" i="1"/>
  <c r="L1037" i="1"/>
  <c r="J1037" i="1"/>
  <c r="I1037" i="1"/>
  <c r="H1037" i="1"/>
  <c r="G1037" i="1"/>
  <c r="D1037" i="1"/>
  <c r="O1036" i="1"/>
  <c r="L1036" i="1"/>
  <c r="J1036" i="1"/>
  <c r="I1036" i="1"/>
  <c r="H1036" i="1"/>
  <c r="G1036" i="1"/>
  <c r="D1036" i="1"/>
  <c r="O1035" i="1"/>
  <c r="L1035" i="1"/>
  <c r="J1035" i="1"/>
  <c r="I1035" i="1"/>
  <c r="H1035" i="1"/>
  <c r="G1035" i="1"/>
  <c r="D1035" i="1"/>
  <c r="O1034" i="1"/>
  <c r="L1034" i="1"/>
  <c r="J1034" i="1"/>
  <c r="I1034" i="1"/>
  <c r="H1034" i="1"/>
  <c r="G1034" i="1"/>
  <c r="D1034" i="1"/>
  <c r="O1033" i="1"/>
  <c r="L1033" i="1"/>
  <c r="J1033" i="1"/>
  <c r="I1033" i="1"/>
  <c r="H1033" i="1"/>
  <c r="G1033" i="1"/>
  <c r="D1033" i="1"/>
  <c r="O1032" i="1"/>
  <c r="L1032" i="1"/>
  <c r="J1032" i="1"/>
  <c r="I1032" i="1"/>
  <c r="H1032" i="1"/>
  <c r="G1032" i="1"/>
  <c r="D1032" i="1"/>
  <c r="O1031" i="1"/>
  <c r="L1031" i="1"/>
  <c r="J1031" i="1"/>
  <c r="I1031" i="1"/>
  <c r="H1031" i="1"/>
  <c r="G1031" i="1"/>
  <c r="D1031" i="1"/>
  <c r="O1030" i="1"/>
  <c r="L1030" i="1"/>
  <c r="J1030" i="1"/>
  <c r="I1030" i="1"/>
  <c r="H1030" i="1"/>
  <c r="G1030" i="1"/>
  <c r="D1030" i="1"/>
  <c r="O1029" i="1"/>
  <c r="L1029" i="1"/>
  <c r="J1029" i="1"/>
  <c r="I1029" i="1"/>
  <c r="H1029" i="1"/>
  <c r="G1029" i="1"/>
  <c r="D1029" i="1"/>
  <c r="O1028" i="1"/>
  <c r="L1028" i="1"/>
  <c r="J1028" i="1"/>
  <c r="I1028" i="1"/>
  <c r="H1028" i="1"/>
  <c r="G1028" i="1"/>
  <c r="D1028" i="1"/>
  <c r="O1027" i="1"/>
  <c r="L1027" i="1"/>
  <c r="J1027" i="1"/>
  <c r="I1027" i="1"/>
  <c r="H1027" i="1"/>
  <c r="G1027" i="1"/>
  <c r="D1027" i="1"/>
  <c r="O1026" i="1"/>
  <c r="L1026" i="1"/>
  <c r="J1026" i="1"/>
  <c r="I1026" i="1"/>
  <c r="H1026" i="1"/>
  <c r="G1026" i="1"/>
  <c r="D1026" i="1"/>
  <c r="O1025" i="1"/>
  <c r="L1025" i="1"/>
  <c r="J1025" i="1"/>
  <c r="I1025" i="1"/>
  <c r="H1025" i="1"/>
  <c r="G1025" i="1"/>
  <c r="D1025" i="1"/>
  <c r="O1024" i="1"/>
  <c r="L1024" i="1"/>
  <c r="J1024" i="1"/>
  <c r="I1024" i="1"/>
  <c r="H1024" i="1"/>
  <c r="G1024" i="1"/>
  <c r="D1024" i="1"/>
  <c r="O1023" i="1"/>
  <c r="L1023" i="1"/>
  <c r="J1023" i="1"/>
  <c r="I1023" i="1"/>
  <c r="H1023" i="1"/>
  <c r="G1023" i="1"/>
  <c r="D1023" i="1"/>
  <c r="O1022" i="1"/>
  <c r="L1022" i="1"/>
  <c r="J1022" i="1"/>
  <c r="I1022" i="1"/>
  <c r="H1022" i="1"/>
  <c r="G1022" i="1"/>
  <c r="D1022" i="1"/>
  <c r="O1021" i="1"/>
  <c r="L1021" i="1"/>
  <c r="J1021" i="1"/>
  <c r="I1021" i="1"/>
  <c r="H1021" i="1"/>
  <c r="G1021" i="1"/>
  <c r="D1021" i="1"/>
  <c r="O1020" i="1"/>
  <c r="L1020" i="1"/>
  <c r="J1020" i="1"/>
  <c r="I1020" i="1"/>
  <c r="H1020" i="1"/>
  <c r="G1020" i="1"/>
  <c r="D1020" i="1"/>
  <c r="O1019" i="1"/>
  <c r="L1019" i="1"/>
  <c r="J1019" i="1"/>
  <c r="I1019" i="1"/>
  <c r="H1019" i="1"/>
  <c r="G1019" i="1"/>
  <c r="D1019" i="1"/>
  <c r="O1018" i="1"/>
  <c r="L1018" i="1"/>
  <c r="J1018" i="1"/>
  <c r="I1018" i="1"/>
  <c r="H1018" i="1"/>
  <c r="G1018" i="1"/>
  <c r="D1018" i="1"/>
  <c r="O1017" i="1"/>
  <c r="L1017" i="1"/>
  <c r="J1017" i="1"/>
  <c r="I1017" i="1"/>
  <c r="H1017" i="1"/>
  <c r="G1017" i="1"/>
  <c r="D1017" i="1"/>
  <c r="O1016" i="1"/>
  <c r="L1016" i="1"/>
  <c r="J1016" i="1"/>
  <c r="I1016" i="1"/>
  <c r="H1016" i="1"/>
  <c r="G1016" i="1"/>
  <c r="D1016" i="1"/>
  <c r="O1015" i="1"/>
  <c r="L1015" i="1"/>
  <c r="J1015" i="1"/>
  <c r="I1015" i="1"/>
  <c r="H1015" i="1"/>
  <c r="G1015" i="1"/>
  <c r="D1015" i="1"/>
  <c r="O1014" i="1"/>
  <c r="L1014" i="1"/>
  <c r="J1014" i="1"/>
  <c r="I1014" i="1"/>
  <c r="H1014" i="1"/>
  <c r="G1014" i="1"/>
  <c r="D1014" i="1"/>
  <c r="O1013" i="1"/>
  <c r="L1013" i="1"/>
  <c r="J1013" i="1"/>
  <c r="I1013" i="1"/>
  <c r="H1013" i="1"/>
  <c r="G1013" i="1"/>
  <c r="D1013" i="1"/>
  <c r="O1012" i="1"/>
  <c r="L1012" i="1"/>
  <c r="J1012" i="1"/>
  <c r="I1012" i="1"/>
  <c r="H1012" i="1"/>
  <c r="G1012" i="1"/>
  <c r="D1012" i="1"/>
  <c r="O1011" i="1"/>
  <c r="L1011" i="1"/>
  <c r="J1011" i="1"/>
  <c r="I1011" i="1"/>
  <c r="H1011" i="1"/>
  <c r="G1011" i="1"/>
  <c r="D1011" i="1"/>
  <c r="O1010" i="1"/>
  <c r="L1010" i="1"/>
  <c r="J1010" i="1"/>
  <c r="I1010" i="1"/>
  <c r="H1010" i="1"/>
  <c r="G1010" i="1"/>
  <c r="D1010" i="1"/>
  <c r="O1009" i="1"/>
  <c r="L1009" i="1"/>
  <c r="J1009" i="1"/>
  <c r="I1009" i="1"/>
  <c r="H1009" i="1"/>
  <c r="G1009" i="1"/>
  <c r="D1009" i="1"/>
  <c r="O1008" i="1"/>
  <c r="L1008" i="1"/>
  <c r="J1008" i="1"/>
  <c r="I1008" i="1"/>
  <c r="H1008" i="1"/>
  <c r="G1008" i="1"/>
  <c r="D1008" i="1"/>
  <c r="O1007" i="1"/>
  <c r="L1007" i="1"/>
  <c r="J1007" i="1"/>
  <c r="I1007" i="1"/>
  <c r="H1007" i="1"/>
  <c r="G1007" i="1"/>
  <c r="D1007" i="1"/>
  <c r="O1006" i="1"/>
  <c r="L1006" i="1"/>
  <c r="J1006" i="1"/>
  <c r="I1006" i="1"/>
  <c r="H1006" i="1"/>
  <c r="G1006" i="1"/>
  <c r="D1006" i="1"/>
  <c r="O1005" i="1"/>
  <c r="L1005" i="1"/>
  <c r="J1005" i="1"/>
  <c r="I1005" i="1"/>
  <c r="H1005" i="1"/>
  <c r="G1005" i="1"/>
  <c r="D1005" i="1"/>
  <c r="O1004" i="1"/>
  <c r="L1004" i="1"/>
  <c r="J1004" i="1"/>
  <c r="I1004" i="1"/>
  <c r="H1004" i="1"/>
  <c r="G1004" i="1"/>
  <c r="D1004" i="1"/>
  <c r="O1003" i="1"/>
  <c r="L1003" i="1"/>
  <c r="J1003" i="1"/>
  <c r="I1003" i="1"/>
  <c r="H1003" i="1"/>
  <c r="G1003" i="1"/>
  <c r="D1003" i="1"/>
  <c r="O1002" i="1"/>
  <c r="L1002" i="1"/>
  <c r="J1002" i="1"/>
  <c r="I1002" i="1"/>
  <c r="H1002" i="1"/>
  <c r="G1002" i="1"/>
  <c r="D1002" i="1"/>
  <c r="O1001" i="1"/>
  <c r="L1001" i="1"/>
  <c r="J1001" i="1"/>
  <c r="I1001" i="1"/>
  <c r="H1001" i="1"/>
  <c r="G1001" i="1"/>
  <c r="D1001" i="1"/>
  <c r="O1000" i="1"/>
  <c r="L1000" i="1"/>
  <c r="J1000" i="1"/>
  <c r="I1000" i="1"/>
  <c r="H1000" i="1"/>
  <c r="G1000" i="1"/>
  <c r="D1000" i="1"/>
  <c r="O999" i="1"/>
  <c r="L999" i="1"/>
  <c r="J999" i="1"/>
  <c r="I999" i="1"/>
  <c r="H999" i="1"/>
  <c r="G999" i="1"/>
  <c r="D999" i="1"/>
  <c r="O998" i="1"/>
  <c r="L998" i="1"/>
  <c r="J998" i="1"/>
  <c r="I998" i="1"/>
  <c r="H998" i="1"/>
  <c r="G998" i="1"/>
  <c r="D998" i="1"/>
  <c r="O997" i="1"/>
  <c r="L997" i="1"/>
  <c r="J997" i="1"/>
  <c r="I997" i="1"/>
  <c r="H997" i="1"/>
  <c r="G997" i="1"/>
  <c r="D997" i="1"/>
  <c r="O996" i="1"/>
  <c r="L996" i="1"/>
  <c r="J996" i="1"/>
  <c r="I996" i="1"/>
  <c r="H996" i="1"/>
  <c r="G996" i="1"/>
  <c r="D996" i="1"/>
  <c r="O995" i="1"/>
  <c r="L995" i="1"/>
  <c r="J995" i="1"/>
  <c r="I995" i="1"/>
  <c r="H995" i="1"/>
  <c r="G995" i="1"/>
  <c r="D995" i="1"/>
  <c r="O994" i="1"/>
  <c r="L994" i="1"/>
  <c r="J994" i="1"/>
  <c r="I994" i="1"/>
  <c r="H994" i="1"/>
  <c r="G994" i="1"/>
  <c r="D994" i="1"/>
  <c r="O993" i="1"/>
  <c r="L993" i="1"/>
  <c r="J993" i="1"/>
  <c r="I993" i="1"/>
  <c r="H993" i="1"/>
  <c r="G993" i="1"/>
  <c r="D993" i="1"/>
  <c r="O992" i="1"/>
  <c r="L992" i="1"/>
  <c r="J992" i="1"/>
  <c r="I992" i="1"/>
  <c r="H992" i="1"/>
  <c r="G992" i="1"/>
  <c r="D992" i="1"/>
  <c r="O991" i="1"/>
  <c r="L991" i="1"/>
  <c r="J991" i="1"/>
  <c r="I991" i="1"/>
  <c r="H991" i="1"/>
  <c r="G991" i="1"/>
  <c r="D991" i="1"/>
  <c r="O990" i="1"/>
  <c r="L990" i="1"/>
  <c r="J990" i="1"/>
  <c r="I990" i="1"/>
  <c r="H990" i="1"/>
  <c r="G990" i="1"/>
  <c r="D990" i="1"/>
  <c r="O989" i="1"/>
  <c r="L989" i="1"/>
  <c r="J989" i="1"/>
  <c r="I989" i="1"/>
  <c r="H989" i="1"/>
  <c r="G989" i="1"/>
  <c r="D989" i="1"/>
  <c r="O988" i="1"/>
  <c r="L988" i="1"/>
  <c r="J988" i="1"/>
  <c r="I988" i="1"/>
  <c r="H988" i="1"/>
  <c r="G988" i="1"/>
  <c r="D988" i="1"/>
  <c r="O987" i="1"/>
  <c r="L987" i="1"/>
  <c r="J987" i="1"/>
  <c r="I987" i="1"/>
  <c r="H987" i="1"/>
  <c r="G987" i="1"/>
  <c r="D987" i="1"/>
  <c r="O986" i="1"/>
  <c r="L986" i="1"/>
  <c r="J986" i="1"/>
  <c r="I986" i="1"/>
  <c r="H986" i="1"/>
  <c r="G986" i="1"/>
  <c r="D986" i="1"/>
  <c r="O985" i="1"/>
  <c r="L985" i="1"/>
  <c r="J985" i="1"/>
  <c r="I985" i="1"/>
  <c r="H985" i="1"/>
  <c r="G985" i="1"/>
  <c r="D985" i="1"/>
  <c r="O984" i="1"/>
  <c r="L984" i="1"/>
  <c r="J984" i="1"/>
  <c r="I984" i="1"/>
  <c r="H984" i="1"/>
  <c r="G984" i="1"/>
  <c r="D984" i="1"/>
  <c r="O983" i="1"/>
  <c r="L983" i="1"/>
  <c r="J983" i="1"/>
  <c r="I983" i="1"/>
  <c r="H983" i="1"/>
  <c r="G983" i="1"/>
  <c r="D983" i="1"/>
  <c r="O982" i="1"/>
  <c r="L982" i="1"/>
  <c r="J982" i="1"/>
  <c r="I982" i="1"/>
  <c r="H982" i="1"/>
  <c r="G982" i="1"/>
  <c r="D982" i="1"/>
  <c r="O981" i="1"/>
  <c r="L981" i="1"/>
  <c r="J981" i="1"/>
  <c r="I981" i="1"/>
  <c r="H981" i="1"/>
  <c r="G981" i="1"/>
  <c r="D981" i="1"/>
  <c r="O980" i="1"/>
  <c r="L980" i="1"/>
  <c r="J980" i="1"/>
  <c r="I980" i="1"/>
  <c r="H980" i="1"/>
  <c r="G980" i="1"/>
  <c r="D980" i="1"/>
  <c r="O979" i="1"/>
  <c r="L979" i="1"/>
  <c r="J979" i="1"/>
  <c r="I979" i="1"/>
  <c r="H979" i="1"/>
  <c r="G979" i="1"/>
  <c r="D979" i="1"/>
  <c r="O978" i="1"/>
  <c r="L978" i="1"/>
  <c r="J978" i="1"/>
  <c r="I978" i="1"/>
  <c r="H978" i="1"/>
  <c r="G978" i="1"/>
  <c r="D978" i="1"/>
  <c r="O977" i="1"/>
  <c r="L977" i="1"/>
  <c r="J977" i="1"/>
  <c r="I977" i="1"/>
  <c r="H977" i="1"/>
  <c r="G977" i="1"/>
  <c r="D977" i="1"/>
  <c r="O976" i="1"/>
  <c r="L976" i="1"/>
  <c r="J976" i="1"/>
  <c r="I976" i="1"/>
  <c r="H976" i="1"/>
  <c r="G976" i="1"/>
  <c r="D976" i="1"/>
  <c r="O975" i="1"/>
  <c r="L975" i="1"/>
  <c r="J975" i="1"/>
  <c r="I975" i="1"/>
  <c r="H975" i="1"/>
  <c r="G975" i="1"/>
  <c r="D975" i="1"/>
  <c r="O974" i="1"/>
  <c r="L974" i="1"/>
  <c r="J974" i="1"/>
  <c r="I974" i="1"/>
  <c r="H974" i="1"/>
  <c r="G974" i="1"/>
  <c r="D974" i="1"/>
  <c r="O973" i="1"/>
  <c r="L973" i="1"/>
  <c r="J973" i="1"/>
  <c r="I973" i="1"/>
  <c r="H973" i="1"/>
  <c r="G973" i="1"/>
  <c r="D973" i="1"/>
  <c r="O972" i="1"/>
  <c r="L972" i="1"/>
  <c r="J972" i="1"/>
  <c r="I972" i="1"/>
  <c r="H972" i="1"/>
  <c r="G972" i="1"/>
  <c r="D972" i="1"/>
  <c r="O971" i="1"/>
  <c r="L971" i="1"/>
  <c r="J971" i="1"/>
  <c r="I971" i="1"/>
  <c r="H971" i="1"/>
  <c r="G971" i="1"/>
  <c r="D971" i="1"/>
  <c r="O970" i="1"/>
  <c r="L970" i="1"/>
  <c r="J970" i="1"/>
  <c r="I970" i="1"/>
  <c r="H970" i="1"/>
  <c r="G970" i="1"/>
  <c r="D970" i="1"/>
  <c r="O969" i="1"/>
  <c r="L969" i="1"/>
  <c r="J969" i="1"/>
  <c r="I969" i="1"/>
  <c r="H969" i="1"/>
  <c r="G969" i="1"/>
  <c r="D969" i="1"/>
  <c r="O968" i="1"/>
  <c r="L968" i="1"/>
  <c r="J968" i="1"/>
  <c r="I968" i="1"/>
  <c r="H968" i="1"/>
  <c r="G968" i="1"/>
  <c r="O967" i="1"/>
  <c r="L967" i="1"/>
  <c r="J967" i="1"/>
  <c r="I967" i="1"/>
  <c r="H967" i="1"/>
  <c r="G967" i="1"/>
  <c r="O966" i="1"/>
  <c r="L966" i="1"/>
  <c r="J966" i="1"/>
  <c r="I966" i="1"/>
  <c r="H966" i="1"/>
  <c r="G966" i="1"/>
  <c r="D966" i="1"/>
  <c r="O965" i="1"/>
  <c r="L965" i="1"/>
  <c r="J965" i="1"/>
  <c r="I965" i="1"/>
  <c r="H965" i="1"/>
  <c r="G965" i="1"/>
  <c r="D965" i="1"/>
  <c r="O964" i="1"/>
  <c r="L964" i="1"/>
  <c r="J964" i="1"/>
  <c r="I964" i="1"/>
  <c r="H964" i="1"/>
  <c r="G964" i="1"/>
  <c r="D964" i="1"/>
  <c r="O963" i="1"/>
  <c r="L963" i="1"/>
  <c r="J963" i="1"/>
  <c r="I963" i="1"/>
  <c r="H963" i="1"/>
  <c r="G963" i="1"/>
  <c r="D963" i="1"/>
  <c r="O962" i="1"/>
  <c r="L962" i="1"/>
  <c r="J962" i="1"/>
  <c r="I962" i="1"/>
  <c r="H962" i="1"/>
  <c r="G962" i="1"/>
  <c r="O961" i="1"/>
  <c r="L961" i="1"/>
  <c r="J961" i="1"/>
  <c r="I961" i="1"/>
  <c r="H961" i="1"/>
  <c r="G961" i="1"/>
  <c r="D961" i="1"/>
  <c r="O960" i="1"/>
  <c r="L960" i="1"/>
  <c r="J960" i="1"/>
  <c r="I960" i="1"/>
  <c r="H960" i="1"/>
  <c r="G960" i="1"/>
  <c r="D960" i="1"/>
  <c r="O959" i="1"/>
  <c r="L959" i="1"/>
  <c r="J959" i="1"/>
  <c r="I959" i="1"/>
  <c r="H959" i="1"/>
  <c r="G959" i="1"/>
  <c r="D959" i="1"/>
  <c r="O958" i="1"/>
  <c r="L958" i="1"/>
  <c r="J958" i="1"/>
  <c r="I958" i="1"/>
  <c r="H958" i="1"/>
  <c r="G958" i="1"/>
  <c r="D958" i="1"/>
  <c r="O957" i="1"/>
  <c r="L957" i="1"/>
  <c r="J957" i="1"/>
  <c r="I957" i="1"/>
  <c r="H957" i="1"/>
  <c r="G957" i="1"/>
  <c r="D957" i="1"/>
  <c r="O956" i="1"/>
  <c r="L956" i="1"/>
  <c r="J956" i="1"/>
  <c r="I956" i="1"/>
  <c r="H956" i="1"/>
  <c r="G956" i="1"/>
  <c r="D956" i="1"/>
  <c r="O955" i="1"/>
  <c r="L955" i="1"/>
  <c r="J955" i="1"/>
  <c r="I955" i="1"/>
  <c r="H955" i="1"/>
  <c r="G955" i="1"/>
  <c r="D955" i="1"/>
  <c r="O954" i="1"/>
  <c r="L954" i="1"/>
  <c r="J954" i="1"/>
  <c r="I954" i="1"/>
  <c r="H954" i="1"/>
  <c r="G954" i="1"/>
  <c r="D954" i="1"/>
  <c r="O953" i="1"/>
  <c r="L953" i="1"/>
  <c r="J953" i="1"/>
  <c r="I953" i="1"/>
  <c r="H953" i="1"/>
  <c r="G953" i="1"/>
  <c r="D953" i="1"/>
  <c r="O952" i="1"/>
  <c r="L952" i="1"/>
  <c r="J952" i="1"/>
  <c r="I952" i="1"/>
  <c r="H952" i="1"/>
  <c r="G952" i="1"/>
  <c r="D952" i="1"/>
  <c r="O951" i="1"/>
  <c r="L951" i="1"/>
  <c r="J951" i="1"/>
  <c r="I951" i="1"/>
  <c r="H951" i="1"/>
  <c r="G951" i="1"/>
  <c r="D951" i="1"/>
  <c r="O950" i="1"/>
  <c r="L950" i="1"/>
  <c r="J950" i="1"/>
  <c r="I950" i="1"/>
  <c r="H950" i="1"/>
  <c r="G950" i="1"/>
  <c r="D950" i="1"/>
  <c r="O949" i="1"/>
  <c r="L949" i="1"/>
  <c r="J949" i="1"/>
  <c r="I949" i="1"/>
  <c r="H949" i="1"/>
  <c r="G949" i="1"/>
  <c r="D949" i="1"/>
  <c r="O948" i="1"/>
  <c r="L948" i="1"/>
  <c r="J948" i="1"/>
  <c r="I948" i="1"/>
  <c r="H948" i="1"/>
  <c r="G948" i="1"/>
  <c r="D948" i="1"/>
  <c r="O947" i="1"/>
  <c r="L947" i="1"/>
  <c r="J947" i="1"/>
  <c r="I947" i="1"/>
  <c r="H947" i="1"/>
  <c r="G947" i="1"/>
  <c r="D947" i="1"/>
  <c r="O946" i="1"/>
  <c r="L946" i="1"/>
  <c r="J946" i="1"/>
  <c r="I946" i="1"/>
  <c r="H946" i="1"/>
  <c r="G946" i="1"/>
  <c r="D946" i="1"/>
  <c r="O945" i="1"/>
  <c r="L945" i="1"/>
  <c r="J945" i="1"/>
  <c r="I945" i="1"/>
  <c r="H945" i="1"/>
  <c r="G945" i="1"/>
  <c r="D945" i="1"/>
  <c r="O944" i="1"/>
  <c r="L944" i="1"/>
  <c r="J944" i="1"/>
  <c r="I944" i="1"/>
  <c r="H944" i="1"/>
  <c r="G944" i="1"/>
  <c r="D944" i="1"/>
  <c r="O943" i="1"/>
  <c r="L943" i="1"/>
  <c r="J943" i="1"/>
  <c r="I943" i="1"/>
  <c r="H943" i="1"/>
  <c r="G943" i="1"/>
  <c r="D943" i="1"/>
  <c r="O942" i="1"/>
  <c r="L942" i="1"/>
  <c r="J942" i="1"/>
  <c r="I942" i="1"/>
  <c r="H942" i="1"/>
  <c r="G942" i="1"/>
  <c r="D942" i="1"/>
  <c r="O941" i="1"/>
  <c r="L941" i="1"/>
  <c r="J941" i="1"/>
  <c r="I941" i="1"/>
  <c r="H941" i="1"/>
  <c r="G941" i="1"/>
  <c r="D941" i="1"/>
  <c r="O940" i="1"/>
  <c r="L940" i="1"/>
  <c r="J940" i="1"/>
  <c r="I940" i="1"/>
  <c r="H940" i="1"/>
  <c r="G940" i="1"/>
  <c r="D940" i="1"/>
  <c r="O939" i="1"/>
  <c r="L939" i="1"/>
  <c r="J939" i="1"/>
  <c r="I939" i="1"/>
  <c r="H939" i="1"/>
  <c r="G939" i="1"/>
  <c r="D939" i="1"/>
  <c r="O938" i="1"/>
  <c r="L938" i="1"/>
  <c r="J938" i="1"/>
  <c r="I938" i="1"/>
  <c r="H938" i="1"/>
  <c r="G938" i="1"/>
  <c r="D938" i="1"/>
  <c r="O937" i="1"/>
  <c r="L937" i="1"/>
  <c r="J937" i="1"/>
  <c r="I937" i="1"/>
  <c r="H937" i="1"/>
  <c r="G937" i="1"/>
  <c r="D937" i="1"/>
  <c r="O936" i="1"/>
  <c r="L936" i="1"/>
  <c r="J936" i="1"/>
  <c r="I936" i="1"/>
  <c r="H936" i="1"/>
  <c r="G936" i="1"/>
  <c r="D936" i="1"/>
  <c r="O935" i="1"/>
  <c r="L935" i="1"/>
  <c r="J935" i="1"/>
  <c r="I935" i="1"/>
  <c r="H935" i="1"/>
  <c r="G935" i="1"/>
  <c r="D935" i="1"/>
  <c r="O934" i="1"/>
  <c r="L934" i="1"/>
  <c r="J934" i="1"/>
  <c r="I934" i="1"/>
  <c r="H934" i="1"/>
  <c r="G934" i="1"/>
  <c r="D934" i="1"/>
  <c r="O933" i="1"/>
  <c r="L933" i="1"/>
  <c r="J933" i="1"/>
  <c r="I933" i="1"/>
  <c r="H933" i="1"/>
  <c r="G933" i="1"/>
  <c r="D933" i="1"/>
  <c r="O932" i="1"/>
  <c r="L932" i="1"/>
  <c r="J932" i="1"/>
  <c r="I932" i="1"/>
  <c r="H932" i="1"/>
  <c r="G932" i="1"/>
  <c r="D932" i="1"/>
  <c r="O931" i="1"/>
  <c r="L931" i="1"/>
  <c r="J931" i="1"/>
  <c r="I931" i="1"/>
  <c r="H931" i="1"/>
  <c r="G931" i="1"/>
  <c r="D931" i="1"/>
  <c r="O930" i="1"/>
  <c r="L930" i="1"/>
  <c r="J930" i="1"/>
  <c r="I930" i="1"/>
  <c r="H930" i="1"/>
  <c r="G930" i="1"/>
  <c r="D930" i="1"/>
  <c r="O929" i="1"/>
  <c r="L929" i="1"/>
  <c r="J929" i="1"/>
  <c r="I929" i="1"/>
  <c r="H929" i="1"/>
  <c r="G929" i="1"/>
  <c r="D929" i="1"/>
  <c r="O928" i="1"/>
  <c r="L928" i="1"/>
  <c r="J928" i="1"/>
  <c r="I928" i="1"/>
  <c r="H928" i="1"/>
  <c r="G928" i="1"/>
  <c r="D928" i="1"/>
  <c r="O927" i="1"/>
  <c r="L927" i="1"/>
  <c r="J927" i="1"/>
  <c r="I927" i="1"/>
  <c r="H927" i="1"/>
  <c r="G927" i="1"/>
  <c r="D927" i="1"/>
  <c r="O926" i="1"/>
  <c r="L926" i="1"/>
  <c r="J926" i="1"/>
  <c r="I926" i="1"/>
  <c r="H926" i="1"/>
  <c r="G926" i="1"/>
  <c r="D926" i="1"/>
  <c r="O925" i="1"/>
  <c r="L925" i="1"/>
  <c r="J925" i="1"/>
  <c r="I925" i="1"/>
  <c r="H925" i="1"/>
  <c r="G925" i="1"/>
  <c r="D925" i="1"/>
  <c r="O924" i="1"/>
  <c r="L924" i="1"/>
  <c r="J924" i="1"/>
  <c r="I924" i="1"/>
  <c r="H924" i="1"/>
  <c r="G924" i="1"/>
  <c r="D924" i="1"/>
  <c r="O923" i="1"/>
  <c r="L923" i="1"/>
  <c r="J923" i="1"/>
  <c r="I923" i="1"/>
  <c r="H923" i="1"/>
  <c r="G923" i="1"/>
  <c r="D923" i="1"/>
  <c r="O922" i="1"/>
  <c r="L922" i="1"/>
  <c r="J922" i="1"/>
  <c r="I922" i="1"/>
  <c r="H922" i="1"/>
  <c r="G922" i="1"/>
  <c r="D922" i="1"/>
  <c r="O921" i="1"/>
  <c r="L921" i="1"/>
  <c r="J921" i="1"/>
  <c r="I921" i="1"/>
  <c r="H921" i="1"/>
  <c r="G921" i="1"/>
  <c r="D921" i="1"/>
  <c r="O920" i="1"/>
  <c r="L920" i="1"/>
  <c r="J920" i="1"/>
  <c r="I920" i="1"/>
  <c r="H920" i="1"/>
  <c r="G920" i="1"/>
  <c r="D920" i="1"/>
  <c r="O919" i="1"/>
  <c r="L919" i="1"/>
  <c r="J919" i="1"/>
  <c r="I919" i="1"/>
  <c r="H919" i="1"/>
  <c r="G919" i="1"/>
  <c r="D919" i="1"/>
  <c r="O918" i="1"/>
  <c r="L918" i="1"/>
  <c r="J918" i="1"/>
  <c r="I918" i="1"/>
  <c r="H918" i="1"/>
  <c r="G918" i="1"/>
  <c r="D918" i="1"/>
  <c r="O917" i="1"/>
  <c r="L917" i="1"/>
  <c r="J917" i="1"/>
  <c r="I917" i="1"/>
  <c r="H917" i="1"/>
  <c r="G917" i="1"/>
  <c r="D917" i="1"/>
  <c r="O916" i="1"/>
  <c r="L916" i="1"/>
  <c r="J916" i="1"/>
  <c r="I916" i="1"/>
  <c r="H916" i="1"/>
  <c r="G916" i="1"/>
  <c r="D916" i="1"/>
  <c r="O915" i="1"/>
  <c r="L915" i="1"/>
  <c r="J915" i="1"/>
  <c r="I915" i="1"/>
  <c r="H915" i="1"/>
  <c r="G915" i="1"/>
  <c r="D915" i="1"/>
  <c r="O914" i="1"/>
  <c r="L914" i="1"/>
  <c r="J914" i="1"/>
  <c r="I914" i="1"/>
  <c r="H914" i="1"/>
  <c r="G914" i="1"/>
  <c r="D914" i="1"/>
  <c r="O913" i="1"/>
  <c r="L913" i="1"/>
  <c r="J913" i="1"/>
  <c r="I913" i="1"/>
  <c r="H913" i="1"/>
  <c r="G913" i="1"/>
  <c r="D913" i="1"/>
  <c r="O912" i="1"/>
  <c r="L912" i="1"/>
  <c r="J912" i="1"/>
  <c r="I912" i="1"/>
  <c r="H912" i="1"/>
  <c r="G912" i="1"/>
  <c r="D912" i="1"/>
  <c r="O911" i="1"/>
  <c r="L911" i="1"/>
  <c r="J911" i="1"/>
  <c r="I911" i="1"/>
  <c r="H911" i="1"/>
  <c r="G911" i="1"/>
  <c r="D911" i="1"/>
  <c r="O910" i="1"/>
  <c r="L910" i="1"/>
  <c r="J910" i="1"/>
  <c r="I910" i="1"/>
  <c r="H910" i="1"/>
  <c r="G910" i="1"/>
  <c r="D910" i="1"/>
  <c r="O909" i="1"/>
  <c r="L909" i="1"/>
  <c r="J909" i="1"/>
  <c r="I909" i="1"/>
  <c r="H909" i="1"/>
  <c r="G909" i="1"/>
  <c r="D909" i="1"/>
  <c r="O908" i="1"/>
  <c r="L908" i="1"/>
  <c r="J908" i="1"/>
  <c r="I908" i="1"/>
  <c r="H908" i="1"/>
  <c r="G908" i="1"/>
  <c r="D908" i="1"/>
  <c r="O907" i="1"/>
  <c r="L907" i="1"/>
  <c r="J907" i="1"/>
  <c r="I907" i="1"/>
  <c r="H907" i="1"/>
  <c r="G907" i="1"/>
  <c r="D907" i="1"/>
  <c r="O906" i="1"/>
  <c r="L906" i="1"/>
  <c r="J906" i="1"/>
  <c r="I906" i="1"/>
  <c r="H906" i="1"/>
  <c r="G906" i="1"/>
  <c r="D906" i="1"/>
  <c r="O905" i="1"/>
  <c r="L905" i="1"/>
  <c r="J905" i="1"/>
  <c r="I905" i="1"/>
  <c r="H905" i="1"/>
  <c r="G905" i="1"/>
  <c r="D905" i="1"/>
  <c r="O904" i="1"/>
  <c r="L904" i="1"/>
  <c r="J904" i="1"/>
  <c r="I904" i="1"/>
  <c r="H904" i="1"/>
  <c r="G904" i="1"/>
  <c r="D904" i="1"/>
  <c r="O903" i="1"/>
  <c r="L903" i="1"/>
  <c r="J903" i="1"/>
  <c r="I903" i="1"/>
  <c r="H903" i="1"/>
  <c r="G903" i="1"/>
  <c r="D903" i="1"/>
  <c r="O902" i="1"/>
  <c r="L902" i="1"/>
  <c r="J902" i="1"/>
  <c r="I902" i="1"/>
  <c r="H902" i="1"/>
  <c r="G902" i="1"/>
  <c r="D902" i="1"/>
  <c r="O901" i="1"/>
  <c r="L901" i="1"/>
  <c r="J901" i="1"/>
  <c r="I901" i="1"/>
  <c r="H901" i="1"/>
  <c r="G901" i="1"/>
  <c r="D901" i="1"/>
  <c r="O900" i="1"/>
  <c r="L900" i="1"/>
  <c r="J900" i="1"/>
  <c r="I900" i="1"/>
  <c r="H900" i="1"/>
  <c r="G900" i="1"/>
  <c r="D900" i="1"/>
  <c r="O899" i="1"/>
  <c r="L899" i="1"/>
  <c r="J899" i="1"/>
  <c r="I899" i="1"/>
  <c r="H899" i="1"/>
  <c r="G899" i="1"/>
  <c r="D899" i="1"/>
  <c r="O898" i="1"/>
  <c r="L898" i="1"/>
  <c r="J898" i="1"/>
  <c r="I898" i="1"/>
  <c r="H898" i="1"/>
  <c r="G898" i="1"/>
  <c r="D898" i="1"/>
  <c r="O897" i="1"/>
  <c r="L897" i="1"/>
  <c r="J897" i="1"/>
  <c r="I897" i="1"/>
  <c r="H897" i="1"/>
  <c r="G897" i="1"/>
  <c r="D897" i="1"/>
  <c r="O896" i="1"/>
  <c r="L896" i="1"/>
  <c r="J896" i="1"/>
  <c r="I896" i="1"/>
  <c r="H896" i="1"/>
  <c r="G896" i="1"/>
  <c r="D896" i="1"/>
  <c r="O895" i="1"/>
  <c r="L895" i="1"/>
  <c r="J895" i="1"/>
  <c r="I895" i="1"/>
  <c r="H895" i="1"/>
  <c r="G895" i="1"/>
  <c r="D895" i="1"/>
  <c r="O894" i="1"/>
  <c r="L894" i="1"/>
  <c r="J894" i="1"/>
  <c r="I894" i="1"/>
  <c r="H894" i="1"/>
  <c r="G894" i="1"/>
  <c r="D894" i="1"/>
  <c r="O893" i="1"/>
  <c r="L893" i="1"/>
  <c r="J893" i="1"/>
  <c r="I893" i="1"/>
  <c r="H893" i="1"/>
  <c r="G893" i="1"/>
  <c r="D893" i="1"/>
  <c r="O892" i="1"/>
  <c r="L892" i="1"/>
  <c r="J892" i="1"/>
  <c r="I892" i="1"/>
  <c r="H892" i="1"/>
  <c r="G892" i="1"/>
  <c r="D892" i="1"/>
  <c r="O891" i="1"/>
  <c r="L891" i="1"/>
  <c r="J891" i="1"/>
  <c r="I891" i="1"/>
  <c r="H891" i="1"/>
  <c r="G891" i="1"/>
  <c r="D891" i="1"/>
  <c r="O890" i="1"/>
  <c r="L890" i="1"/>
  <c r="J890" i="1"/>
  <c r="I890" i="1"/>
  <c r="H890" i="1"/>
  <c r="G890" i="1"/>
  <c r="D890" i="1"/>
  <c r="O889" i="1"/>
  <c r="L889" i="1"/>
  <c r="J889" i="1"/>
  <c r="I889" i="1"/>
  <c r="H889" i="1"/>
  <c r="G889" i="1"/>
  <c r="D889" i="1"/>
  <c r="O888" i="1"/>
  <c r="L888" i="1"/>
  <c r="J888" i="1"/>
  <c r="I888" i="1"/>
  <c r="H888" i="1"/>
  <c r="G888" i="1"/>
  <c r="D888" i="1"/>
  <c r="O887" i="1"/>
  <c r="L887" i="1"/>
  <c r="J887" i="1"/>
  <c r="I887" i="1"/>
  <c r="H887" i="1"/>
  <c r="G887" i="1"/>
  <c r="D887" i="1"/>
  <c r="O886" i="1"/>
  <c r="L886" i="1"/>
  <c r="J886" i="1"/>
  <c r="I886" i="1"/>
  <c r="H886" i="1"/>
  <c r="G886" i="1"/>
  <c r="D886" i="1"/>
  <c r="O885" i="1"/>
  <c r="L885" i="1"/>
  <c r="J885" i="1"/>
  <c r="I885" i="1"/>
  <c r="H885" i="1"/>
  <c r="G885" i="1"/>
  <c r="D885" i="1"/>
  <c r="O884" i="1"/>
  <c r="L884" i="1"/>
  <c r="J884" i="1"/>
  <c r="I884" i="1"/>
  <c r="H884" i="1"/>
  <c r="G884" i="1"/>
  <c r="D884" i="1"/>
  <c r="O883" i="1"/>
  <c r="L883" i="1"/>
  <c r="J883" i="1"/>
  <c r="I883" i="1"/>
  <c r="H883" i="1"/>
  <c r="G883" i="1"/>
  <c r="D883" i="1"/>
  <c r="O882" i="1"/>
  <c r="L882" i="1"/>
  <c r="J882" i="1"/>
  <c r="I882" i="1"/>
  <c r="H882" i="1"/>
  <c r="G882" i="1"/>
  <c r="D882" i="1"/>
  <c r="O881" i="1"/>
  <c r="L881" i="1"/>
  <c r="J881" i="1"/>
  <c r="I881" i="1"/>
  <c r="H881" i="1"/>
  <c r="G881" i="1"/>
  <c r="D881" i="1"/>
  <c r="O880" i="1"/>
  <c r="L880" i="1"/>
  <c r="J880" i="1"/>
  <c r="I880" i="1"/>
  <c r="H880" i="1"/>
  <c r="G880" i="1"/>
  <c r="D880" i="1"/>
  <c r="O879" i="1"/>
  <c r="L879" i="1"/>
  <c r="J879" i="1"/>
  <c r="I879" i="1"/>
  <c r="H879" i="1"/>
  <c r="G879" i="1"/>
  <c r="D879" i="1"/>
  <c r="O878" i="1"/>
  <c r="L878" i="1"/>
  <c r="J878" i="1"/>
  <c r="I878" i="1"/>
  <c r="H878" i="1"/>
  <c r="G878" i="1"/>
  <c r="D878" i="1"/>
  <c r="O877" i="1"/>
  <c r="L877" i="1"/>
  <c r="J877" i="1"/>
  <c r="I877" i="1"/>
  <c r="H877" i="1"/>
  <c r="G877" i="1"/>
  <c r="D877" i="1"/>
  <c r="O876" i="1"/>
  <c r="L876" i="1"/>
  <c r="J876" i="1"/>
  <c r="I876" i="1"/>
  <c r="H876" i="1"/>
  <c r="G876" i="1"/>
  <c r="D876" i="1"/>
  <c r="O875" i="1"/>
  <c r="L875" i="1"/>
  <c r="J875" i="1"/>
  <c r="I875" i="1"/>
  <c r="H875" i="1"/>
  <c r="G875" i="1"/>
  <c r="D875" i="1"/>
  <c r="O874" i="1"/>
  <c r="L874" i="1"/>
  <c r="J874" i="1"/>
  <c r="I874" i="1"/>
  <c r="H874" i="1"/>
  <c r="G874" i="1"/>
  <c r="D874" i="1"/>
  <c r="O873" i="1"/>
  <c r="L873" i="1"/>
  <c r="J873" i="1"/>
  <c r="I873" i="1"/>
  <c r="H873" i="1"/>
  <c r="G873" i="1"/>
  <c r="D873" i="1"/>
  <c r="O872" i="1"/>
  <c r="L872" i="1"/>
  <c r="J872" i="1"/>
  <c r="I872" i="1"/>
  <c r="H872" i="1"/>
  <c r="G872" i="1"/>
  <c r="D872" i="1"/>
  <c r="O871" i="1"/>
  <c r="L871" i="1"/>
  <c r="J871" i="1"/>
  <c r="I871" i="1"/>
  <c r="H871" i="1"/>
  <c r="G871" i="1"/>
  <c r="D871" i="1"/>
  <c r="O870" i="1"/>
  <c r="L870" i="1"/>
  <c r="J870" i="1"/>
  <c r="I870" i="1"/>
  <c r="H870" i="1"/>
  <c r="G870" i="1"/>
  <c r="D870" i="1"/>
  <c r="O869" i="1"/>
  <c r="L869" i="1"/>
  <c r="J869" i="1"/>
  <c r="I869" i="1"/>
  <c r="H869" i="1"/>
  <c r="G869" i="1"/>
  <c r="D869" i="1"/>
  <c r="O868" i="1"/>
  <c r="L868" i="1"/>
  <c r="J868" i="1"/>
  <c r="I868" i="1"/>
  <c r="H868" i="1"/>
  <c r="G868" i="1"/>
  <c r="D868" i="1"/>
  <c r="O867" i="1"/>
  <c r="L867" i="1"/>
  <c r="J867" i="1"/>
  <c r="I867" i="1"/>
  <c r="H867" i="1"/>
  <c r="G867" i="1"/>
  <c r="D867" i="1"/>
  <c r="O866" i="1"/>
  <c r="L866" i="1"/>
  <c r="J866" i="1"/>
  <c r="I866" i="1"/>
  <c r="H866" i="1"/>
  <c r="G866" i="1"/>
  <c r="D866" i="1"/>
  <c r="O865" i="1"/>
  <c r="L865" i="1"/>
  <c r="J865" i="1"/>
  <c r="I865" i="1"/>
  <c r="H865" i="1"/>
  <c r="G865" i="1"/>
  <c r="D865" i="1"/>
  <c r="O864" i="1"/>
  <c r="L864" i="1"/>
  <c r="J864" i="1"/>
  <c r="I864" i="1"/>
  <c r="H864" i="1"/>
  <c r="G864" i="1"/>
  <c r="D864" i="1"/>
  <c r="O863" i="1"/>
  <c r="L863" i="1"/>
  <c r="J863" i="1"/>
  <c r="I863" i="1"/>
  <c r="H863" i="1"/>
  <c r="G863" i="1"/>
  <c r="D863" i="1"/>
  <c r="O862" i="1"/>
  <c r="L862" i="1"/>
  <c r="J862" i="1"/>
  <c r="I862" i="1"/>
  <c r="H862" i="1"/>
  <c r="G862" i="1"/>
  <c r="D862" i="1"/>
  <c r="O861" i="1"/>
  <c r="L861" i="1"/>
  <c r="J861" i="1"/>
  <c r="I861" i="1"/>
  <c r="H861" i="1"/>
  <c r="G861" i="1"/>
  <c r="D861" i="1"/>
  <c r="O860" i="1"/>
  <c r="L860" i="1"/>
  <c r="J860" i="1"/>
  <c r="I860" i="1"/>
  <c r="H860" i="1"/>
  <c r="G860" i="1"/>
  <c r="D860" i="1"/>
  <c r="O859" i="1"/>
  <c r="L859" i="1"/>
  <c r="J859" i="1"/>
  <c r="I859" i="1"/>
  <c r="H859" i="1"/>
  <c r="G859" i="1"/>
  <c r="D859" i="1"/>
  <c r="O858" i="1"/>
  <c r="L858" i="1"/>
  <c r="J858" i="1"/>
  <c r="I858" i="1"/>
  <c r="H858" i="1"/>
  <c r="G858" i="1"/>
  <c r="D858" i="1"/>
  <c r="O857" i="1"/>
  <c r="L857" i="1"/>
  <c r="J857" i="1"/>
  <c r="I857" i="1"/>
  <c r="H857" i="1"/>
  <c r="G857" i="1"/>
  <c r="D857" i="1"/>
  <c r="O856" i="1"/>
  <c r="L856" i="1"/>
  <c r="J856" i="1"/>
  <c r="I856" i="1"/>
  <c r="H856" i="1"/>
  <c r="G856" i="1"/>
  <c r="D856" i="1"/>
  <c r="O855" i="1"/>
  <c r="L855" i="1"/>
  <c r="J855" i="1"/>
  <c r="I855" i="1"/>
  <c r="H855" i="1"/>
  <c r="G855" i="1"/>
  <c r="D855" i="1"/>
  <c r="O854" i="1"/>
  <c r="L854" i="1"/>
  <c r="J854" i="1"/>
  <c r="I854" i="1"/>
  <c r="H854" i="1"/>
  <c r="G854" i="1"/>
  <c r="D854" i="1"/>
  <c r="O853" i="1"/>
  <c r="L853" i="1"/>
  <c r="J853" i="1"/>
  <c r="I853" i="1"/>
  <c r="H853" i="1"/>
  <c r="G853" i="1"/>
  <c r="D853" i="1"/>
  <c r="O852" i="1"/>
  <c r="L852" i="1"/>
  <c r="J852" i="1"/>
  <c r="I852" i="1"/>
  <c r="H852" i="1"/>
  <c r="G852" i="1"/>
  <c r="D852" i="1"/>
  <c r="O851" i="1"/>
  <c r="L851" i="1"/>
  <c r="J851" i="1"/>
  <c r="I851" i="1"/>
  <c r="H851" i="1"/>
  <c r="G851" i="1"/>
  <c r="D851" i="1"/>
  <c r="O850" i="1"/>
  <c r="L850" i="1"/>
  <c r="J850" i="1"/>
  <c r="I850" i="1"/>
  <c r="H850" i="1"/>
  <c r="G850" i="1"/>
  <c r="D850" i="1"/>
  <c r="O849" i="1"/>
  <c r="L849" i="1"/>
  <c r="J849" i="1"/>
  <c r="I849" i="1"/>
  <c r="H849" i="1"/>
  <c r="G849" i="1"/>
  <c r="D849" i="1"/>
  <c r="O848" i="1"/>
  <c r="L848" i="1"/>
  <c r="J848" i="1"/>
  <c r="I848" i="1"/>
  <c r="H848" i="1"/>
  <c r="G848" i="1"/>
  <c r="D848" i="1"/>
  <c r="O847" i="1"/>
  <c r="L847" i="1"/>
  <c r="J847" i="1"/>
  <c r="I847" i="1"/>
  <c r="H847" i="1"/>
  <c r="G847" i="1"/>
  <c r="D847" i="1"/>
  <c r="O846" i="1"/>
  <c r="L846" i="1"/>
  <c r="J846" i="1"/>
  <c r="I846" i="1"/>
  <c r="H846" i="1"/>
  <c r="G846" i="1"/>
  <c r="D846" i="1"/>
  <c r="O845" i="1"/>
  <c r="L845" i="1"/>
  <c r="J845" i="1"/>
  <c r="I845" i="1"/>
  <c r="H845" i="1"/>
  <c r="G845" i="1"/>
  <c r="D845" i="1"/>
  <c r="O844" i="1"/>
  <c r="L844" i="1"/>
  <c r="J844" i="1"/>
  <c r="I844" i="1"/>
  <c r="H844" i="1"/>
  <c r="G844" i="1"/>
  <c r="D844" i="1"/>
  <c r="O843" i="1"/>
  <c r="L843" i="1"/>
  <c r="J843" i="1"/>
  <c r="I843" i="1"/>
  <c r="H843" i="1"/>
  <c r="G843" i="1"/>
  <c r="D843" i="1"/>
  <c r="O842" i="1"/>
  <c r="L842" i="1"/>
  <c r="J842" i="1"/>
  <c r="I842" i="1"/>
  <c r="H842" i="1"/>
  <c r="G842" i="1"/>
  <c r="D842" i="1"/>
  <c r="O841" i="1"/>
  <c r="L841" i="1"/>
  <c r="J841" i="1"/>
  <c r="I841" i="1"/>
  <c r="H841" i="1"/>
  <c r="G841" i="1"/>
  <c r="D841" i="1"/>
  <c r="O840" i="1"/>
  <c r="L840" i="1"/>
  <c r="J840" i="1"/>
  <c r="I840" i="1"/>
  <c r="H840" i="1"/>
  <c r="G840" i="1"/>
  <c r="D840" i="1"/>
  <c r="O839" i="1"/>
  <c r="L839" i="1"/>
  <c r="J839" i="1"/>
  <c r="I839" i="1"/>
  <c r="H839" i="1"/>
  <c r="G839" i="1"/>
  <c r="D839" i="1"/>
  <c r="O838" i="1"/>
  <c r="L838" i="1"/>
  <c r="J838" i="1"/>
  <c r="I838" i="1"/>
  <c r="H838" i="1"/>
  <c r="G838" i="1"/>
  <c r="D838" i="1"/>
  <c r="O837" i="1"/>
  <c r="L837" i="1"/>
  <c r="J837" i="1"/>
  <c r="I837" i="1"/>
  <c r="H837" i="1"/>
  <c r="G837" i="1"/>
  <c r="D837" i="1"/>
  <c r="O836" i="1"/>
  <c r="L836" i="1"/>
  <c r="J836" i="1"/>
  <c r="I836" i="1"/>
  <c r="H836" i="1"/>
  <c r="G836" i="1"/>
  <c r="D836" i="1"/>
  <c r="O835" i="1"/>
  <c r="L835" i="1"/>
  <c r="J835" i="1"/>
  <c r="I835" i="1"/>
  <c r="H835" i="1"/>
  <c r="G835" i="1"/>
  <c r="D835" i="1"/>
  <c r="O834" i="1"/>
  <c r="L834" i="1"/>
  <c r="J834" i="1"/>
  <c r="I834" i="1"/>
  <c r="H834" i="1"/>
  <c r="G834" i="1"/>
  <c r="D834" i="1"/>
  <c r="O833" i="1"/>
  <c r="L833" i="1"/>
  <c r="J833" i="1"/>
  <c r="I833" i="1"/>
  <c r="H833" i="1"/>
  <c r="G833" i="1"/>
  <c r="D833" i="1"/>
  <c r="O832" i="1"/>
  <c r="L832" i="1"/>
  <c r="J832" i="1"/>
  <c r="I832" i="1"/>
  <c r="H832" i="1"/>
  <c r="G832" i="1"/>
  <c r="D832" i="1"/>
  <c r="O831" i="1"/>
  <c r="L831" i="1"/>
  <c r="J831" i="1"/>
  <c r="I831" i="1"/>
  <c r="H831" i="1"/>
  <c r="G831" i="1"/>
  <c r="D831" i="1"/>
  <c r="O830" i="1"/>
  <c r="L830" i="1"/>
  <c r="J830" i="1"/>
  <c r="I830" i="1"/>
  <c r="H830" i="1"/>
  <c r="G830" i="1"/>
  <c r="D830" i="1"/>
  <c r="O829" i="1"/>
  <c r="L829" i="1"/>
  <c r="J829" i="1"/>
  <c r="I829" i="1"/>
  <c r="H829" i="1"/>
  <c r="G829" i="1"/>
  <c r="D829" i="1"/>
  <c r="O828" i="1"/>
  <c r="L828" i="1"/>
  <c r="J828" i="1"/>
  <c r="I828" i="1"/>
  <c r="H828" i="1"/>
  <c r="G828" i="1"/>
  <c r="D828" i="1"/>
  <c r="O827" i="1"/>
  <c r="L827" i="1"/>
  <c r="J827" i="1"/>
  <c r="I827" i="1"/>
  <c r="H827" i="1"/>
  <c r="G827" i="1"/>
  <c r="D827" i="1"/>
  <c r="O826" i="1"/>
  <c r="L826" i="1"/>
  <c r="J826" i="1"/>
  <c r="I826" i="1"/>
  <c r="H826" i="1"/>
  <c r="G826" i="1"/>
  <c r="D826" i="1"/>
  <c r="O825" i="1"/>
  <c r="L825" i="1"/>
  <c r="J825" i="1"/>
  <c r="I825" i="1"/>
  <c r="H825" i="1"/>
  <c r="G825" i="1"/>
  <c r="D825" i="1"/>
  <c r="O824" i="1"/>
  <c r="L824" i="1"/>
  <c r="J824" i="1"/>
  <c r="I824" i="1"/>
  <c r="H824" i="1"/>
  <c r="G824" i="1"/>
  <c r="D824" i="1"/>
  <c r="O823" i="1"/>
  <c r="L823" i="1"/>
  <c r="J823" i="1"/>
  <c r="I823" i="1"/>
  <c r="H823" i="1"/>
  <c r="G823" i="1"/>
  <c r="D823" i="1"/>
  <c r="O822" i="1"/>
  <c r="L822" i="1"/>
  <c r="J822" i="1"/>
  <c r="I822" i="1"/>
  <c r="H822" i="1"/>
  <c r="G822" i="1"/>
  <c r="D822" i="1"/>
  <c r="O821" i="1"/>
  <c r="L821" i="1"/>
  <c r="J821" i="1"/>
  <c r="I821" i="1"/>
  <c r="H821" i="1"/>
  <c r="G821" i="1"/>
  <c r="D821" i="1"/>
  <c r="O820" i="1"/>
  <c r="L820" i="1"/>
  <c r="J820" i="1"/>
  <c r="I820" i="1"/>
  <c r="H820" i="1"/>
  <c r="G820" i="1"/>
  <c r="D820" i="1"/>
  <c r="O819" i="1"/>
  <c r="L819" i="1"/>
  <c r="J819" i="1"/>
  <c r="I819" i="1"/>
  <c r="H819" i="1"/>
  <c r="G819" i="1"/>
  <c r="D819" i="1"/>
  <c r="O818" i="1"/>
  <c r="L818" i="1"/>
  <c r="J818" i="1"/>
  <c r="I818" i="1"/>
  <c r="H818" i="1"/>
  <c r="G818" i="1"/>
  <c r="D818" i="1"/>
  <c r="O817" i="1"/>
  <c r="L817" i="1"/>
  <c r="J817" i="1"/>
  <c r="I817" i="1"/>
  <c r="H817" i="1"/>
  <c r="G817" i="1"/>
  <c r="D817" i="1"/>
  <c r="O816" i="1"/>
  <c r="L816" i="1"/>
  <c r="J816" i="1"/>
  <c r="I816" i="1"/>
  <c r="H816" i="1"/>
  <c r="G816" i="1"/>
  <c r="D816" i="1"/>
  <c r="O815" i="1"/>
  <c r="L815" i="1"/>
  <c r="J815" i="1"/>
  <c r="I815" i="1"/>
  <c r="H815" i="1"/>
  <c r="G815" i="1"/>
  <c r="D815" i="1"/>
  <c r="O814" i="1"/>
  <c r="L814" i="1"/>
  <c r="J814" i="1"/>
  <c r="I814" i="1"/>
  <c r="H814" i="1"/>
  <c r="G814" i="1"/>
  <c r="D814" i="1"/>
  <c r="O813" i="1"/>
  <c r="L813" i="1"/>
  <c r="J813" i="1"/>
  <c r="I813" i="1"/>
  <c r="H813" i="1"/>
  <c r="G813" i="1"/>
  <c r="D813" i="1"/>
  <c r="O812" i="1"/>
  <c r="L812" i="1"/>
  <c r="J812" i="1"/>
  <c r="I812" i="1"/>
  <c r="H812" i="1"/>
  <c r="G812" i="1"/>
  <c r="D812" i="1"/>
  <c r="O811" i="1"/>
  <c r="L811" i="1"/>
  <c r="J811" i="1"/>
  <c r="I811" i="1"/>
  <c r="H811" i="1"/>
  <c r="G811" i="1"/>
  <c r="D811" i="1"/>
  <c r="O810" i="1"/>
  <c r="L810" i="1"/>
  <c r="J810" i="1"/>
  <c r="I810" i="1"/>
  <c r="H810" i="1"/>
  <c r="G810" i="1"/>
  <c r="D810" i="1"/>
  <c r="O809" i="1"/>
  <c r="L809" i="1"/>
  <c r="J809" i="1"/>
  <c r="I809" i="1"/>
  <c r="H809" i="1"/>
  <c r="G809" i="1"/>
  <c r="D809" i="1"/>
  <c r="O808" i="1"/>
  <c r="L808" i="1"/>
  <c r="J808" i="1"/>
  <c r="I808" i="1"/>
  <c r="H808" i="1"/>
  <c r="G808" i="1"/>
  <c r="D808" i="1"/>
  <c r="O807" i="1"/>
  <c r="L807" i="1"/>
  <c r="J807" i="1"/>
  <c r="I807" i="1"/>
  <c r="H807" i="1"/>
  <c r="G807" i="1"/>
  <c r="D807" i="1"/>
  <c r="O806" i="1"/>
  <c r="L806" i="1"/>
  <c r="J806" i="1"/>
  <c r="I806" i="1"/>
  <c r="H806" i="1"/>
  <c r="G806" i="1"/>
  <c r="D806" i="1"/>
  <c r="O805" i="1"/>
  <c r="L805" i="1"/>
  <c r="J805" i="1"/>
  <c r="I805" i="1"/>
  <c r="H805" i="1"/>
  <c r="G805" i="1"/>
  <c r="D805" i="1"/>
  <c r="O804" i="1"/>
  <c r="L804" i="1"/>
  <c r="J804" i="1"/>
  <c r="I804" i="1"/>
  <c r="H804" i="1"/>
  <c r="G804" i="1"/>
  <c r="D804" i="1"/>
  <c r="O803" i="1"/>
  <c r="L803" i="1"/>
  <c r="J803" i="1"/>
  <c r="I803" i="1"/>
  <c r="H803" i="1"/>
  <c r="G803" i="1"/>
  <c r="D803" i="1"/>
  <c r="O802" i="1"/>
  <c r="L802" i="1"/>
  <c r="J802" i="1"/>
  <c r="I802" i="1"/>
  <c r="H802" i="1"/>
  <c r="G802" i="1"/>
  <c r="D802" i="1"/>
  <c r="O801" i="1"/>
  <c r="L801" i="1"/>
  <c r="J801" i="1"/>
  <c r="I801" i="1"/>
  <c r="H801" i="1"/>
  <c r="G801" i="1"/>
  <c r="D801" i="1"/>
  <c r="O800" i="1"/>
  <c r="L800" i="1"/>
  <c r="J800" i="1"/>
  <c r="I800" i="1"/>
  <c r="H800" i="1"/>
  <c r="G800" i="1"/>
  <c r="D800" i="1"/>
  <c r="O799" i="1"/>
  <c r="L799" i="1"/>
  <c r="J799" i="1"/>
  <c r="I799" i="1"/>
  <c r="H799" i="1"/>
  <c r="G799" i="1"/>
  <c r="D799" i="1"/>
  <c r="O798" i="1"/>
  <c r="L798" i="1"/>
  <c r="J798" i="1"/>
  <c r="I798" i="1"/>
  <c r="H798" i="1"/>
  <c r="G798" i="1"/>
  <c r="D798" i="1"/>
  <c r="O797" i="1"/>
  <c r="L797" i="1"/>
  <c r="J797" i="1"/>
  <c r="I797" i="1"/>
  <c r="H797" i="1"/>
  <c r="G797" i="1"/>
  <c r="D797" i="1"/>
  <c r="O796" i="1"/>
  <c r="L796" i="1"/>
  <c r="J796" i="1"/>
  <c r="I796" i="1"/>
  <c r="H796" i="1"/>
  <c r="G796" i="1"/>
  <c r="D796" i="1"/>
  <c r="O795" i="1"/>
  <c r="L795" i="1"/>
  <c r="J795" i="1"/>
  <c r="I795" i="1"/>
  <c r="H795" i="1"/>
  <c r="G795" i="1"/>
  <c r="D795" i="1"/>
  <c r="O794" i="1"/>
  <c r="L794" i="1"/>
  <c r="J794" i="1"/>
  <c r="I794" i="1"/>
  <c r="H794" i="1"/>
  <c r="G794" i="1"/>
  <c r="D794" i="1"/>
  <c r="O793" i="1"/>
  <c r="L793" i="1"/>
  <c r="J793" i="1"/>
  <c r="I793" i="1"/>
  <c r="H793" i="1"/>
  <c r="G793" i="1"/>
  <c r="D793" i="1"/>
  <c r="O792" i="1"/>
  <c r="L792" i="1"/>
  <c r="J792" i="1"/>
  <c r="I792" i="1"/>
  <c r="H792" i="1"/>
  <c r="G792" i="1"/>
  <c r="D792" i="1"/>
  <c r="O791" i="1"/>
  <c r="L791" i="1"/>
  <c r="J791" i="1"/>
  <c r="I791" i="1"/>
  <c r="H791" i="1"/>
  <c r="G791" i="1"/>
  <c r="D791" i="1"/>
  <c r="O790" i="1"/>
  <c r="L790" i="1"/>
  <c r="J790" i="1"/>
  <c r="I790" i="1"/>
  <c r="H790" i="1"/>
  <c r="G790" i="1"/>
  <c r="D790" i="1"/>
  <c r="O789" i="1"/>
  <c r="L789" i="1"/>
  <c r="J789" i="1"/>
  <c r="I789" i="1"/>
  <c r="H789" i="1"/>
  <c r="G789" i="1"/>
  <c r="D789" i="1"/>
  <c r="O788" i="1"/>
  <c r="L788" i="1"/>
  <c r="J788" i="1"/>
  <c r="I788" i="1"/>
  <c r="H788" i="1"/>
  <c r="G788" i="1"/>
  <c r="D788" i="1"/>
  <c r="O787" i="1"/>
  <c r="L787" i="1"/>
  <c r="J787" i="1"/>
  <c r="I787" i="1"/>
  <c r="H787" i="1"/>
  <c r="G787" i="1"/>
  <c r="D787" i="1"/>
  <c r="O786" i="1"/>
  <c r="L786" i="1"/>
  <c r="J786" i="1"/>
  <c r="I786" i="1"/>
  <c r="H786" i="1"/>
  <c r="G786" i="1"/>
  <c r="D786" i="1"/>
  <c r="O785" i="1"/>
  <c r="L785" i="1"/>
  <c r="J785" i="1"/>
  <c r="I785" i="1"/>
  <c r="H785" i="1"/>
  <c r="G785" i="1"/>
  <c r="D785" i="1"/>
  <c r="O784" i="1"/>
  <c r="L784" i="1"/>
  <c r="J784" i="1"/>
  <c r="I784" i="1"/>
  <c r="H784" i="1"/>
  <c r="G784" i="1"/>
  <c r="D784" i="1"/>
  <c r="O783" i="1"/>
  <c r="L783" i="1"/>
  <c r="J783" i="1"/>
  <c r="I783" i="1"/>
  <c r="H783" i="1"/>
  <c r="G783" i="1"/>
  <c r="D783" i="1"/>
  <c r="O782" i="1"/>
  <c r="L782" i="1"/>
  <c r="J782" i="1"/>
  <c r="I782" i="1"/>
  <c r="H782" i="1"/>
  <c r="G782" i="1"/>
  <c r="D782" i="1"/>
  <c r="O781" i="1"/>
  <c r="L781" i="1"/>
  <c r="J781" i="1"/>
  <c r="I781" i="1"/>
  <c r="H781" i="1"/>
  <c r="G781" i="1"/>
  <c r="D781" i="1"/>
  <c r="O780" i="1"/>
  <c r="L780" i="1"/>
  <c r="J780" i="1"/>
  <c r="I780" i="1"/>
  <c r="H780" i="1"/>
  <c r="G780" i="1"/>
  <c r="D780" i="1"/>
  <c r="O779" i="1"/>
  <c r="L779" i="1"/>
  <c r="J779" i="1"/>
  <c r="I779" i="1"/>
  <c r="H779" i="1"/>
  <c r="G779" i="1"/>
  <c r="D779" i="1"/>
  <c r="O778" i="1"/>
  <c r="L778" i="1"/>
  <c r="J778" i="1"/>
  <c r="I778" i="1"/>
  <c r="H778" i="1"/>
  <c r="G778" i="1"/>
  <c r="D778" i="1"/>
  <c r="O777" i="1"/>
  <c r="L777" i="1"/>
  <c r="J777" i="1"/>
  <c r="I777" i="1"/>
  <c r="H777" i="1"/>
  <c r="G777" i="1"/>
  <c r="D777" i="1"/>
  <c r="O776" i="1"/>
  <c r="L776" i="1"/>
  <c r="J776" i="1"/>
  <c r="I776" i="1"/>
  <c r="H776" i="1"/>
  <c r="G776" i="1"/>
  <c r="D776" i="1"/>
  <c r="O775" i="1"/>
  <c r="L775" i="1"/>
  <c r="J775" i="1"/>
  <c r="I775" i="1"/>
  <c r="H775" i="1"/>
  <c r="G775" i="1"/>
  <c r="D775" i="1"/>
  <c r="O774" i="1"/>
  <c r="L774" i="1"/>
  <c r="J774" i="1"/>
  <c r="I774" i="1"/>
  <c r="H774" i="1"/>
  <c r="G774" i="1"/>
  <c r="D774" i="1"/>
  <c r="O773" i="1"/>
  <c r="L773" i="1"/>
  <c r="J773" i="1"/>
  <c r="I773" i="1"/>
  <c r="H773" i="1"/>
  <c r="G773" i="1"/>
  <c r="D773" i="1"/>
  <c r="O772" i="1"/>
  <c r="L772" i="1"/>
  <c r="J772" i="1"/>
  <c r="I772" i="1"/>
  <c r="H772" i="1"/>
  <c r="G772" i="1"/>
  <c r="D772" i="1"/>
  <c r="O771" i="1"/>
  <c r="L771" i="1"/>
  <c r="J771" i="1"/>
  <c r="I771" i="1"/>
  <c r="H771" i="1"/>
  <c r="G771" i="1"/>
  <c r="D771" i="1"/>
  <c r="O770" i="1"/>
  <c r="L770" i="1"/>
  <c r="J770" i="1"/>
  <c r="I770" i="1"/>
  <c r="H770" i="1"/>
  <c r="G770" i="1"/>
  <c r="D770" i="1"/>
  <c r="O769" i="1"/>
  <c r="L769" i="1"/>
  <c r="J769" i="1"/>
  <c r="I769" i="1"/>
  <c r="H769" i="1"/>
  <c r="G769" i="1"/>
  <c r="D769" i="1"/>
  <c r="O768" i="1"/>
  <c r="L768" i="1"/>
  <c r="J768" i="1"/>
  <c r="I768" i="1"/>
  <c r="H768" i="1"/>
  <c r="G768" i="1"/>
  <c r="D768" i="1"/>
  <c r="O767" i="1"/>
  <c r="L767" i="1"/>
  <c r="J767" i="1"/>
  <c r="I767" i="1"/>
  <c r="H767" i="1"/>
  <c r="G767" i="1"/>
  <c r="D767" i="1"/>
  <c r="O766" i="1"/>
  <c r="L766" i="1"/>
  <c r="J766" i="1"/>
  <c r="I766" i="1"/>
  <c r="H766" i="1"/>
  <c r="G766" i="1"/>
  <c r="D766" i="1"/>
  <c r="O765" i="1"/>
  <c r="L765" i="1"/>
  <c r="J765" i="1"/>
  <c r="I765" i="1"/>
  <c r="H765" i="1"/>
  <c r="G765" i="1"/>
  <c r="D765" i="1"/>
  <c r="O764" i="1"/>
  <c r="L764" i="1"/>
  <c r="J764" i="1"/>
  <c r="I764" i="1"/>
  <c r="H764" i="1"/>
  <c r="G764" i="1"/>
  <c r="D764" i="1"/>
  <c r="O763" i="1"/>
  <c r="L763" i="1"/>
  <c r="J763" i="1"/>
  <c r="I763" i="1"/>
  <c r="H763" i="1"/>
  <c r="G763" i="1"/>
  <c r="D763" i="1"/>
  <c r="O762" i="1"/>
  <c r="L762" i="1"/>
  <c r="J762" i="1"/>
  <c r="I762" i="1"/>
  <c r="H762" i="1"/>
  <c r="G762" i="1"/>
  <c r="D762" i="1"/>
  <c r="O761" i="1"/>
  <c r="L761" i="1"/>
  <c r="J761" i="1"/>
  <c r="I761" i="1"/>
  <c r="H761" i="1"/>
  <c r="G761" i="1"/>
  <c r="D761" i="1"/>
  <c r="O760" i="1"/>
  <c r="L760" i="1"/>
  <c r="J760" i="1"/>
  <c r="I760" i="1"/>
  <c r="H760" i="1"/>
  <c r="G760" i="1"/>
  <c r="D760" i="1"/>
  <c r="O759" i="1"/>
  <c r="L759" i="1"/>
  <c r="J759" i="1"/>
  <c r="I759" i="1"/>
  <c r="H759" i="1"/>
  <c r="G759" i="1"/>
  <c r="D759" i="1"/>
  <c r="O758" i="1"/>
  <c r="L758" i="1"/>
  <c r="J758" i="1"/>
  <c r="I758" i="1"/>
  <c r="H758" i="1"/>
  <c r="G758" i="1"/>
  <c r="D758" i="1"/>
  <c r="O757" i="1"/>
  <c r="L757" i="1"/>
  <c r="J757" i="1"/>
  <c r="I757" i="1"/>
  <c r="H757" i="1"/>
  <c r="G757" i="1"/>
  <c r="D757" i="1"/>
  <c r="O756" i="1"/>
  <c r="L756" i="1"/>
  <c r="J756" i="1"/>
  <c r="I756" i="1"/>
  <c r="H756" i="1"/>
  <c r="G756" i="1"/>
  <c r="D756" i="1"/>
  <c r="O755" i="1"/>
  <c r="L755" i="1"/>
  <c r="J755" i="1"/>
  <c r="I755" i="1"/>
  <c r="H755" i="1"/>
  <c r="G755" i="1"/>
  <c r="D755" i="1"/>
  <c r="O754" i="1"/>
  <c r="L754" i="1"/>
  <c r="J754" i="1"/>
  <c r="I754" i="1"/>
  <c r="H754" i="1"/>
  <c r="G754" i="1"/>
  <c r="D754" i="1"/>
  <c r="O753" i="1"/>
  <c r="L753" i="1"/>
  <c r="J753" i="1"/>
  <c r="I753" i="1"/>
  <c r="H753" i="1"/>
  <c r="G753" i="1"/>
  <c r="D753" i="1"/>
  <c r="O752" i="1"/>
  <c r="L752" i="1"/>
  <c r="J752" i="1"/>
  <c r="I752" i="1"/>
  <c r="H752" i="1"/>
  <c r="G752" i="1"/>
  <c r="D752" i="1"/>
  <c r="O751" i="1"/>
  <c r="L751" i="1"/>
  <c r="J751" i="1"/>
  <c r="I751" i="1"/>
  <c r="H751" i="1"/>
  <c r="G751" i="1"/>
  <c r="D751" i="1"/>
  <c r="O750" i="1"/>
  <c r="L750" i="1"/>
  <c r="J750" i="1"/>
  <c r="I750" i="1"/>
  <c r="H750" i="1"/>
  <c r="G750" i="1"/>
  <c r="D750" i="1"/>
  <c r="O749" i="1"/>
  <c r="L749" i="1"/>
  <c r="J749" i="1"/>
  <c r="I749" i="1"/>
  <c r="H749" i="1"/>
  <c r="G749" i="1"/>
  <c r="D749" i="1"/>
  <c r="O748" i="1"/>
  <c r="L748" i="1"/>
  <c r="J748" i="1"/>
  <c r="I748" i="1"/>
  <c r="H748" i="1"/>
  <c r="G748" i="1"/>
  <c r="D748" i="1"/>
  <c r="O747" i="1"/>
  <c r="L747" i="1"/>
  <c r="J747" i="1"/>
  <c r="I747" i="1"/>
  <c r="H747" i="1"/>
  <c r="G747" i="1"/>
  <c r="D747" i="1"/>
  <c r="O746" i="1"/>
  <c r="L746" i="1"/>
  <c r="J746" i="1"/>
  <c r="I746" i="1"/>
  <c r="H746" i="1"/>
  <c r="G746" i="1"/>
  <c r="D746" i="1"/>
  <c r="O745" i="1"/>
  <c r="L745" i="1"/>
  <c r="J745" i="1"/>
  <c r="I745" i="1"/>
  <c r="H745" i="1"/>
  <c r="G745" i="1"/>
  <c r="D745" i="1"/>
  <c r="O744" i="1"/>
  <c r="L744" i="1"/>
  <c r="J744" i="1"/>
  <c r="I744" i="1"/>
  <c r="H744" i="1"/>
  <c r="G744" i="1"/>
  <c r="D744" i="1"/>
  <c r="O743" i="1"/>
  <c r="L743" i="1"/>
  <c r="J743" i="1"/>
  <c r="I743" i="1"/>
  <c r="H743" i="1"/>
  <c r="G743" i="1"/>
  <c r="D743" i="1"/>
  <c r="O742" i="1"/>
  <c r="L742" i="1"/>
  <c r="J742" i="1"/>
  <c r="I742" i="1"/>
  <c r="H742" i="1"/>
  <c r="G742" i="1"/>
  <c r="D742" i="1"/>
  <c r="O741" i="1"/>
  <c r="L741" i="1"/>
  <c r="J741" i="1"/>
  <c r="I741" i="1"/>
  <c r="H741" i="1"/>
  <c r="G741" i="1"/>
  <c r="D741" i="1"/>
  <c r="O740" i="1"/>
  <c r="L740" i="1"/>
  <c r="J740" i="1"/>
  <c r="I740" i="1"/>
  <c r="H740" i="1"/>
  <c r="G740" i="1"/>
  <c r="D740" i="1"/>
  <c r="O739" i="1"/>
  <c r="L739" i="1"/>
  <c r="J739" i="1"/>
  <c r="I739" i="1"/>
  <c r="H739" i="1"/>
  <c r="G739" i="1"/>
  <c r="D739" i="1"/>
  <c r="O738" i="1"/>
  <c r="L738" i="1"/>
  <c r="J738" i="1"/>
  <c r="I738" i="1"/>
  <c r="H738" i="1"/>
  <c r="G738" i="1"/>
  <c r="D738" i="1"/>
  <c r="O737" i="1"/>
  <c r="L737" i="1"/>
  <c r="J737" i="1"/>
  <c r="I737" i="1"/>
  <c r="H737" i="1"/>
  <c r="G737" i="1"/>
  <c r="D737" i="1"/>
  <c r="O736" i="1"/>
  <c r="L736" i="1"/>
  <c r="J736" i="1"/>
  <c r="I736" i="1"/>
  <c r="H736" i="1"/>
  <c r="G736" i="1"/>
  <c r="D736" i="1"/>
  <c r="O735" i="1"/>
  <c r="L735" i="1"/>
  <c r="J735" i="1"/>
  <c r="I735" i="1"/>
  <c r="H735" i="1"/>
  <c r="G735" i="1"/>
  <c r="D735" i="1"/>
  <c r="O734" i="1"/>
  <c r="L734" i="1"/>
  <c r="J734" i="1"/>
  <c r="I734" i="1"/>
  <c r="H734" i="1"/>
  <c r="G734" i="1"/>
  <c r="D734" i="1"/>
  <c r="O733" i="1"/>
  <c r="L733" i="1"/>
  <c r="J733" i="1"/>
  <c r="I733" i="1"/>
  <c r="H733" i="1"/>
  <c r="G733" i="1"/>
  <c r="D733" i="1"/>
  <c r="O732" i="1"/>
  <c r="L732" i="1"/>
  <c r="J732" i="1"/>
  <c r="I732" i="1"/>
  <c r="H732" i="1"/>
  <c r="G732" i="1"/>
  <c r="D732" i="1"/>
  <c r="O731" i="1"/>
  <c r="L731" i="1"/>
  <c r="J731" i="1"/>
  <c r="I731" i="1"/>
  <c r="H731" i="1"/>
  <c r="G731" i="1"/>
  <c r="D731" i="1"/>
  <c r="O730" i="1"/>
  <c r="L730" i="1"/>
  <c r="J730" i="1"/>
  <c r="I730" i="1"/>
  <c r="H730" i="1"/>
  <c r="G730" i="1"/>
  <c r="D730" i="1"/>
  <c r="O729" i="1"/>
  <c r="L729" i="1"/>
  <c r="J729" i="1"/>
  <c r="I729" i="1"/>
  <c r="H729" i="1"/>
  <c r="G729" i="1"/>
  <c r="D729" i="1"/>
  <c r="O728" i="1"/>
  <c r="L728" i="1"/>
  <c r="J728" i="1"/>
  <c r="I728" i="1"/>
  <c r="H728" i="1"/>
  <c r="G728" i="1"/>
  <c r="D728" i="1"/>
  <c r="O727" i="1"/>
  <c r="L727" i="1"/>
  <c r="J727" i="1"/>
  <c r="I727" i="1"/>
  <c r="H727" i="1"/>
  <c r="G727" i="1"/>
  <c r="D727" i="1"/>
  <c r="O726" i="1"/>
  <c r="L726" i="1"/>
  <c r="J726" i="1"/>
  <c r="I726" i="1"/>
  <c r="H726" i="1"/>
  <c r="G726" i="1"/>
  <c r="D726" i="1"/>
  <c r="O725" i="1"/>
  <c r="L725" i="1"/>
  <c r="J725" i="1"/>
  <c r="I725" i="1"/>
  <c r="H725" i="1"/>
  <c r="G725" i="1"/>
  <c r="D725" i="1"/>
  <c r="O724" i="1"/>
  <c r="L724" i="1"/>
  <c r="J724" i="1"/>
  <c r="I724" i="1"/>
  <c r="H724" i="1"/>
  <c r="G724" i="1"/>
  <c r="D724" i="1"/>
  <c r="O723" i="1"/>
  <c r="L723" i="1"/>
  <c r="J723" i="1"/>
  <c r="I723" i="1"/>
  <c r="H723" i="1"/>
  <c r="G723" i="1"/>
  <c r="D723" i="1"/>
  <c r="O722" i="1"/>
  <c r="L722" i="1"/>
  <c r="J722" i="1"/>
  <c r="I722" i="1"/>
  <c r="H722" i="1"/>
  <c r="G722" i="1"/>
  <c r="D722" i="1"/>
  <c r="O721" i="1"/>
  <c r="L721" i="1"/>
  <c r="J721" i="1"/>
  <c r="I721" i="1"/>
  <c r="H721" i="1"/>
  <c r="G721" i="1"/>
  <c r="D721" i="1"/>
  <c r="O720" i="1"/>
  <c r="L720" i="1"/>
  <c r="J720" i="1"/>
  <c r="I720" i="1"/>
  <c r="H720" i="1"/>
  <c r="G720" i="1"/>
  <c r="D720" i="1"/>
  <c r="O719" i="1"/>
  <c r="L719" i="1"/>
  <c r="J719" i="1"/>
  <c r="I719" i="1"/>
  <c r="H719" i="1"/>
  <c r="G719" i="1"/>
  <c r="D719" i="1"/>
  <c r="O718" i="1"/>
  <c r="L718" i="1"/>
  <c r="J718" i="1"/>
  <c r="I718" i="1"/>
  <c r="H718" i="1"/>
  <c r="G718" i="1"/>
  <c r="D718" i="1"/>
  <c r="O717" i="1"/>
  <c r="L717" i="1"/>
  <c r="J717" i="1"/>
  <c r="I717" i="1"/>
  <c r="H717" i="1"/>
  <c r="G717" i="1"/>
  <c r="D717" i="1"/>
  <c r="O716" i="1"/>
  <c r="L716" i="1"/>
  <c r="J716" i="1"/>
  <c r="I716" i="1"/>
  <c r="H716" i="1"/>
  <c r="G716" i="1"/>
  <c r="D716" i="1"/>
  <c r="O715" i="1"/>
  <c r="L715" i="1"/>
  <c r="J715" i="1"/>
  <c r="I715" i="1"/>
  <c r="H715" i="1"/>
  <c r="G715" i="1"/>
  <c r="D715" i="1"/>
  <c r="O714" i="1"/>
  <c r="L714" i="1"/>
  <c r="J714" i="1"/>
  <c r="I714" i="1"/>
  <c r="H714" i="1"/>
  <c r="G714" i="1"/>
  <c r="D714" i="1"/>
  <c r="O713" i="1"/>
  <c r="L713" i="1"/>
  <c r="J713" i="1"/>
  <c r="I713" i="1"/>
  <c r="H713" i="1"/>
  <c r="G713" i="1"/>
  <c r="D713" i="1"/>
  <c r="O712" i="1"/>
  <c r="L712" i="1"/>
  <c r="J712" i="1"/>
  <c r="I712" i="1"/>
  <c r="H712" i="1"/>
  <c r="G712" i="1"/>
  <c r="D712" i="1"/>
  <c r="O711" i="1"/>
  <c r="L711" i="1"/>
  <c r="J711" i="1"/>
  <c r="I711" i="1"/>
  <c r="H711" i="1"/>
  <c r="G711" i="1"/>
  <c r="D711" i="1"/>
  <c r="O710" i="1"/>
  <c r="L710" i="1"/>
  <c r="J710" i="1"/>
  <c r="I710" i="1"/>
  <c r="H710" i="1"/>
  <c r="G710" i="1"/>
  <c r="D710" i="1"/>
  <c r="O709" i="1"/>
  <c r="L709" i="1"/>
  <c r="J709" i="1"/>
  <c r="I709" i="1"/>
  <c r="H709" i="1"/>
  <c r="G709" i="1"/>
  <c r="D709" i="1"/>
  <c r="O708" i="1"/>
  <c r="L708" i="1"/>
  <c r="J708" i="1"/>
  <c r="I708" i="1"/>
  <c r="H708" i="1"/>
  <c r="G708" i="1"/>
  <c r="D708" i="1"/>
  <c r="O707" i="1"/>
  <c r="L707" i="1"/>
  <c r="J707" i="1"/>
  <c r="I707" i="1"/>
  <c r="H707" i="1"/>
  <c r="G707" i="1"/>
  <c r="D707" i="1"/>
  <c r="O706" i="1"/>
  <c r="L706" i="1"/>
  <c r="J706" i="1"/>
  <c r="I706" i="1"/>
  <c r="H706" i="1"/>
  <c r="G706" i="1"/>
  <c r="D706" i="1"/>
  <c r="O705" i="1"/>
  <c r="L705" i="1"/>
  <c r="J705" i="1"/>
  <c r="I705" i="1"/>
  <c r="H705" i="1"/>
  <c r="G705" i="1"/>
  <c r="D705" i="1"/>
  <c r="O704" i="1"/>
  <c r="L704" i="1"/>
  <c r="J704" i="1"/>
  <c r="I704" i="1"/>
  <c r="H704" i="1"/>
  <c r="G704" i="1"/>
  <c r="D704" i="1"/>
  <c r="O703" i="1"/>
  <c r="L703" i="1"/>
  <c r="J703" i="1"/>
  <c r="I703" i="1"/>
  <c r="H703" i="1"/>
  <c r="G703" i="1"/>
  <c r="D703" i="1"/>
  <c r="O702" i="1"/>
  <c r="L702" i="1"/>
  <c r="J702" i="1"/>
  <c r="I702" i="1"/>
  <c r="H702" i="1"/>
  <c r="G702" i="1"/>
  <c r="D702" i="1"/>
  <c r="O701" i="1"/>
  <c r="L701" i="1"/>
  <c r="J701" i="1"/>
  <c r="I701" i="1"/>
  <c r="H701" i="1"/>
  <c r="G701" i="1"/>
  <c r="D701" i="1"/>
  <c r="O700" i="1"/>
  <c r="L700" i="1"/>
  <c r="J700" i="1"/>
  <c r="I700" i="1"/>
  <c r="H700" i="1"/>
  <c r="G700" i="1"/>
  <c r="D700" i="1"/>
  <c r="O699" i="1"/>
  <c r="L699" i="1"/>
  <c r="J699" i="1"/>
  <c r="I699" i="1"/>
  <c r="H699" i="1"/>
  <c r="G699" i="1"/>
  <c r="D699" i="1"/>
  <c r="O698" i="1"/>
  <c r="L698" i="1"/>
  <c r="J698" i="1"/>
  <c r="I698" i="1"/>
  <c r="H698" i="1"/>
  <c r="G698" i="1"/>
  <c r="D698" i="1"/>
  <c r="O697" i="1"/>
  <c r="L697" i="1"/>
  <c r="J697" i="1"/>
  <c r="I697" i="1"/>
  <c r="H697" i="1"/>
  <c r="G697" i="1"/>
  <c r="D697" i="1"/>
  <c r="O696" i="1"/>
  <c r="L696" i="1"/>
  <c r="J696" i="1"/>
  <c r="I696" i="1"/>
  <c r="H696" i="1"/>
  <c r="G696" i="1"/>
  <c r="D696" i="1"/>
  <c r="O695" i="1"/>
  <c r="L695" i="1"/>
  <c r="J695" i="1"/>
  <c r="I695" i="1"/>
  <c r="H695" i="1"/>
  <c r="G695" i="1"/>
  <c r="D695" i="1"/>
  <c r="O694" i="1"/>
  <c r="L694" i="1"/>
  <c r="J694" i="1"/>
  <c r="I694" i="1"/>
  <c r="H694" i="1"/>
  <c r="G694" i="1"/>
  <c r="D694" i="1"/>
  <c r="O693" i="1"/>
  <c r="L693" i="1"/>
  <c r="J693" i="1"/>
  <c r="I693" i="1"/>
  <c r="H693" i="1"/>
  <c r="G693" i="1"/>
  <c r="D693" i="1"/>
  <c r="O692" i="1"/>
  <c r="L692" i="1"/>
  <c r="J692" i="1"/>
  <c r="I692" i="1"/>
  <c r="H692" i="1"/>
  <c r="G692" i="1"/>
  <c r="D692" i="1"/>
  <c r="O691" i="1"/>
  <c r="L691" i="1"/>
  <c r="J691" i="1"/>
  <c r="I691" i="1"/>
  <c r="H691" i="1"/>
  <c r="G691" i="1"/>
  <c r="D691" i="1"/>
  <c r="O690" i="1"/>
  <c r="L690" i="1"/>
  <c r="J690" i="1"/>
  <c r="I690" i="1"/>
  <c r="H690" i="1"/>
  <c r="G690" i="1"/>
  <c r="D690" i="1"/>
  <c r="O689" i="1"/>
  <c r="L689" i="1"/>
  <c r="J689" i="1"/>
  <c r="I689" i="1"/>
  <c r="H689" i="1"/>
  <c r="G689" i="1"/>
  <c r="D689" i="1"/>
  <c r="O688" i="1"/>
  <c r="L688" i="1"/>
  <c r="J688" i="1"/>
  <c r="I688" i="1"/>
  <c r="H688" i="1"/>
  <c r="G688" i="1"/>
  <c r="D688" i="1"/>
  <c r="O687" i="1"/>
  <c r="L687" i="1"/>
  <c r="J687" i="1"/>
  <c r="I687" i="1"/>
  <c r="H687" i="1"/>
  <c r="G687" i="1"/>
  <c r="D687" i="1"/>
  <c r="O686" i="1"/>
  <c r="L686" i="1"/>
  <c r="J686" i="1"/>
  <c r="I686" i="1"/>
  <c r="H686" i="1"/>
  <c r="G686" i="1"/>
  <c r="D686" i="1"/>
  <c r="O685" i="1"/>
  <c r="L685" i="1"/>
  <c r="J685" i="1"/>
  <c r="I685" i="1"/>
  <c r="H685" i="1"/>
  <c r="G685" i="1"/>
  <c r="D685" i="1"/>
  <c r="O684" i="1"/>
  <c r="L684" i="1"/>
  <c r="J684" i="1"/>
  <c r="I684" i="1"/>
  <c r="H684" i="1"/>
  <c r="G684" i="1"/>
  <c r="D684" i="1"/>
  <c r="O683" i="1"/>
  <c r="L683" i="1"/>
  <c r="J683" i="1"/>
  <c r="I683" i="1"/>
  <c r="H683" i="1"/>
  <c r="G683" i="1"/>
  <c r="D683" i="1"/>
  <c r="O682" i="1"/>
  <c r="L682" i="1"/>
  <c r="J682" i="1"/>
  <c r="I682" i="1"/>
  <c r="H682" i="1"/>
  <c r="G682" i="1"/>
  <c r="D682" i="1"/>
  <c r="O681" i="1"/>
  <c r="L681" i="1"/>
  <c r="J681" i="1"/>
  <c r="I681" i="1"/>
  <c r="H681" i="1"/>
  <c r="G681" i="1"/>
  <c r="D681" i="1"/>
  <c r="O680" i="1"/>
  <c r="L680" i="1"/>
  <c r="J680" i="1"/>
  <c r="I680" i="1"/>
  <c r="H680" i="1"/>
  <c r="G680" i="1"/>
  <c r="D680" i="1"/>
  <c r="O679" i="1"/>
  <c r="L679" i="1"/>
  <c r="J679" i="1"/>
  <c r="I679" i="1"/>
  <c r="H679" i="1"/>
  <c r="G679" i="1"/>
  <c r="D679" i="1"/>
  <c r="O678" i="1"/>
  <c r="L678" i="1"/>
  <c r="J678" i="1"/>
  <c r="I678" i="1"/>
  <c r="H678" i="1"/>
  <c r="G678" i="1"/>
  <c r="D678" i="1"/>
  <c r="O677" i="1"/>
  <c r="L677" i="1"/>
  <c r="J677" i="1"/>
  <c r="I677" i="1"/>
  <c r="H677" i="1"/>
  <c r="G677" i="1"/>
  <c r="D677" i="1"/>
  <c r="O676" i="1"/>
  <c r="L676" i="1"/>
  <c r="J676" i="1"/>
  <c r="I676" i="1"/>
  <c r="H676" i="1"/>
  <c r="G676" i="1"/>
  <c r="D676" i="1"/>
  <c r="O675" i="1"/>
  <c r="L675" i="1"/>
  <c r="J675" i="1"/>
  <c r="I675" i="1"/>
  <c r="H675" i="1"/>
  <c r="G675" i="1"/>
  <c r="D675" i="1"/>
  <c r="O674" i="1"/>
  <c r="L674" i="1"/>
  <c r="J674" i="1"/>
  <c r="I674" i="1"/>
  <c r="H674" i="1"/>
  <c r="G674" i="1"/>
  <c r="D674" i="1"/>
  <c r="O673" i="1"/>
  <c r="L673" i="1"/>
  <c r="J673" i="1"/>
  <c r="I673" i="1"/>
  <c r="H673" i="1"/>
  <c r="G673" i="1"/>
  <c r="D673" i="1"/>
  <c r="O672" i="1"/>
  <c r="L672" i="1"/>
  <c r="J672" i="1"/>
  <c r="I672" i="1"/>
  <c r="H672" i="1"/>
  <c r="G672" i="1"/>
  <c r="D672" i="1"/>
  <c r="O671" i="1"/>
  <c r="L671" i="1"/>
  <c r="J671" i="1"/>
  <c r="I671" i="1"/>
  <c r="H671" i="1"/>
  <c r="G671" i="1"/>
  <c r="D671" i="1"/>
  <c r="O670" i="1"/>
  <c r="L670" i="1"/>
  <c r="J670" i="1"/>
  <c r="I670" i="1"/>
  <c r="H670" i="1"/>
  <c r="G670" i="1"/>
  <c r="D670" i="1"/>
  <c r="O669" i="1"/>
  <c r="L669" i="1"/>
  <c r="J669" i="1"/>
  <c r="I669" i="1"/>
  <c r="H669" i="1"/>
  <c r="G669" i="1"/>
  <c r="D669" i="1"/>
  <c r="O668" i="1"/>
  <c r="L668" i="1"/>
  <c r="J668" i="1"/>
  <c r="I668" i="1"/>
  <c r="H668" i="1"/>
  <c r="G668" i="1"/>
  <c r="D668" i="1"/>
  <c r="O667" i="1"/>
  <c r="L667" i="1"/>
  <c r="J667" i="1"/>
  <c r="I667" i="1"/>
  <c r="H667" i="1"/>
  <c r="G667" i="1"/>
  <c r="D667" i="1"/>
  <c r="O666" i="1"/>
  <c r="L666" i="1"/>
  <c r="J666" i="1"/>
  <c r="I666" i="1"/>
  <c r="H666" i="1"/>
  <c r="G666" i="1"/>
  <c r="D666" i="1"/>
  <c r="O665" i="1"/>
  <c r="L665" i="1"/>
  <c r="J665" i="1"/>
  <c r="I665" i="1"/>
  <c r="H665" i="1"/>
  <c r="G665" i="1"/>
  <c r="D665" i="1"/>
  <c r="O664" i="1"/>
  <c r="L664" i="1"/>
  <c r="J664" i="1"/>
  <c r="I664" i="1"/>
  <c r="H664" i="1"/>
  <c r="G664" i="1"/>
  <c r="D664" i="1"/>
  <c r="O663" i="1"/>
  <c r="L663" i="1"/>
  <c r="J663" i="1"/>
  <c r="I663" i="1"/>
  <c r="H663" i="1"/>
  <c r="G663" i="1"/>
  <c r="D663" i="1"/>
  <c r="O662" i="1"/>
  <c r="L662" i="1"/>
  <c r="J662" i="1"/>
  <c r="I662" i="1"/>
  <c r="H662" i="1"/>
  <c r="G662" i="1"/>
  <c r="D662" i="1"/>
  <c r="O661" i="1"/>
  <c r="L661" i="1"/>
  <c r="J661" i="1"/>
  <c r="I661" i="1"/>
  <c r="H661" i="1"/>
  <c r="G661" i="1"/>
  <c r="D661" i="1"/>
  <c r="O660" i="1"/>
  <c r="L660" i="1"/>
  <c r="J660" i="1"/>
  <c r="I660" i="1"/>
  <c r="H660" i="1"/>
  <c r="G660" i="1"/>
  <c r="D660" i="1"/>
  <c r="O659" i="1"/>
  <c r="L659" i="1"/>
  <c r="J659" i="1"/>
  <c r="I659" i="1"/>
  <c r="H659" i="1"/>
  <c r="G659" i="1"/>
  <c r="D659" i="1"/>
  <c r="O658" i="1"/>
  <c r="L658" i="1"/>
  <c r="J658" i="1"/>
  <c r="I658" i="1"/>
  <c r="H658" i="1"/>
  <c r="G658" i="1"/>
  <c r="D658" i="1"/>
  <c r="O657" i="1"/>
  <c r="L657" i="1"/>
  <c r="J657" i="1"/>
  <c r="I657" i="1"/>
  <c r="H657" i="1"/>
  <c r="G657" i="1"/>
  <c r="D657" i="1"/>
  <c r="O656" i="1"/>
  <c r="L656" i="1"/>
  <c r="J656" i="1"/>
  <c r="I656" i="1"/>
  <c r="H656" i="1"/>
  <c r="G656" i="1"/>
  <c r="D656" i="1"/>
  <c r="O655" i="1"/>
  <c r="L655" i="1"/>
  <c r="J655" i="1"/>
  <c r="I655" i="1"/>
  <c r="H655" i="1"/>
  <c r="G655" i="1"/>
  <c r="D655" i="1"/>
  <c r="O654" i="1"/>
  <c r="L654" i="1"/>
  <c r="J654" i="1"/>
  <c r="I654" i="1"/>
  <c r="H654" i="1"/>
  <c r="G654" i="1"/>
  <c r="D654" i="1"/>
  <c r="O653" i="1"/>
  <c r="L653" i="1"/>
  <c r="J653" i="1"/>
  <c r="I653" i="1"/>
  <c r="H653" i="1"/>
  <c r="G653" i="1"/>
  <c r="D653" i="1"/>
  <c r="O652" i="1"/>
  <c r="L652" i="1"/>
  <c r="J652" i="1"/>
  <c r="I652" i="1"/>
  <c r="H652" i="1"/>
  <c r="G652" i="1"/>
  <c r="D652" i="1"/>
  <c r="O651" i="1"/>
  <c r="L651" i="1"/>
  <c r="J651" i="1"/>
  <c r="I651" i="1"/>
  <c r="H651" i="1"/>
  <c r="G651" i="1"/>
  <c r="D651" i="1"/>
  <c r="O650" i="1"/>
  <c r="L650" i="1"/>
  <c r="J650" i="1"/>
  <c r="I650" i="1"/>
  <c r="H650" i="1"/>
  <c r="G650" i="1"/>
  <c r="D650" i="1"/>
  <c r="O649" i="1"/>
  <c r="L649" i="1"/>
  <c r="J649" i="1"/>
  <c r="I649" i="1"/>
  <c r="H649" i="1"/>
  <c r="G649" i="1"/>
  <c r="D649" i="1"/>
  <c r="O648" i="1"/>
  <c r="L648" i="1"/>
  <c r="J648" i="1"/>
  <c r="I648" i="1"/>
  <c r="H648" i="1"/>
  <c r="G648" i="1"/>
  <c r="D648" i="1"/>
  <c r="O647" i="1"/>
  <c r="L647" i="1"/>
  <c r="J647" i="1"/>
  <c r="I647" i="1"/>
  <c r="H647" i="1"/>
  <c r="G647" i="1"/>
  <c r="D647" i="1"/>
  <c r="O646" i="1"/>
  <c r="L646" i="1"/>
  <c r="J646" i="1"/>
  <c r="I646" i="1"/>
  <c r="H646" i="1"/>
  <c r="G646" i="1"/>
  <c r="D646" i="1"/>
  <c r="O645" i="1"/>
  <c r="L645" i="1"/>
  <c r="J645" i="1"/>
  <c r="I645" i="1"/>
  <c r="H645" i="1"/>
  <c r="G645" i="1"/>
  <c r="D645" i="1"/>
  <c r="O644" i="1"/>
  <c r="L644" i="1"/>
  <c r="J644" i="1"/>
  <c r="I644" i="1"/>
  <c r="H644" i="1"/>
  <c r="G644" i="1"/>
  <c r="D644" i="1"/>
  <c r="O643" i="1"/>
  <c r="L643" i="1"/>
  <c r="J643" i="1"/>
  <c r="I643" i="1"/>
  <c r="H643" i="1"/>
  <c r="G643" i="1"/>
  <c r="D643" i="1"/>
  <c r="O642" i="1"/>
  <c r="L642" i="1"/>
  <c r="J642" i="1"/>
  <c r="I642" i="1"/>
  <c r="H642" i="1"/>
  <c r="G642" i="1"/>
  <c r="D642" i="1"/>
  <c r="O641" i="1"/>
  <c r="L641" i="1"/>
  <c r="J641" i="1"/>
  <c r="I641" i="1"/>
  <c r="H641" i="1"/>
  <c r="G641" i="1"/>
  <c r="D641" i="1"/>
  <c r="O640" i="1"/>
  <c r="L640" i="1"/>
  <c r="J640" i="1"/>
  <c r="I640" i="1"/>
  <c r="H640" i="1"/>
  <c r="G640" i="1"/>
  <c r="D640" i="1"/>
  <c r="O639" i="1"/>
  <c r="L639" i="1"/>
  <c r="J639" i="1"/>
  <c r="I639" i="1"/>
  <c r="H639" i="1"/>
  <c r="G639" i="1"/>
  <c r="D639" i="1"/>
  <c r="O638" i="1"/>
  <c r="L638" i="1"/>
  <c r="J638" i="1"/>
  <c r="I638" i="1"/>
  <c r="H638" i="1"/>
  <c r="G638" i="1"/>
  <c r="D638" i="1"/>
  <c r="O637" i="1"/>
  <c r="L637" i="1"/>
  <c r="J637" i="1"/>
  <c r="I637" i="1"/>
  <c r="H637" i="1"/>
  <c r="G637" i="1"/>
  <c r="D637" i="1"/>
  <c r="O636" i="1"/>
  <c r="L636" i="1"/>
  <c r="J636" i="1"/>
  <c r="I636" i="1"/>
  <c r="H636" i="1"/>
  <c r="G636" i="1"/>
  <c r="D636" i="1"/>
  <c r="O635" i="1"/>
  <c r="L635" i="1"/>
  <c r="J635" i="1"/>
  <c r="I635" i="1"/>
  <c r="H635" i="1"/>
  <c r="G635" i="1"/>
  <c r="D635" i="1"/>
  <c r="O634" i="1"/>
  <c r="L634" i="1"/>
  <c r="J634" i="1"/>
  <c r="I634" i="1"/>
  <c r="H634" i="1"/>
  <c r="G634" i="1"/>
  <c r="D634" i="1"/>
  <c r="O633" i="1"/>
  <c r="L633" i="1"/>
  <c r="J633" i="1"/>
  <c r="I633" i="1"/>
  <c r="H633" i="1"/>
  <c r="G633" i="1"/>
  <c r="D633" i="1"/>
  <c r="O632" i="1"/>
  <c r="L632" i="1"/>
  <c r="J632" i="1"/>
  <c r="I632" i="1"/>
  <c r="H632" i="1"/>
  <c r="G632" i="1"/>
  <c r="D632" i="1"/>
  <c r="O631" i="1"/>
  <c r="L631" i="1"/>
  <c r="J631" i="1"/>
  <c r="I631" i="1"/>
  <c r="H631" i="1"/>
  <c r="G631" i="1"/>
  <c r="D631" i="1"/>
  <c r="O630" i="1"/>
  <c r="L630" i="1"/>
  <c r="J630" i="1"/>
  <c r="I630" i="1"/>
  <c r="H630" i="1"/>
  <c r="G630" i="1"/>
  <c r="D630" i="1"/>
  <c r="O629" i="1"/>
  <c r="L629" i="1"/>
  <c r="J629" i="1"/>
  <c r="I629" i="1"/>
  <c r="H629" i="1"/>
  <c r="G629" i="1"/>
  <c r="D629" i="1"/>
  <c r="O628" i="1"/>
  <c r="L628" i="1"/>
  <c r="J628" i="1"/>
  <c r="I628" i="1"/>
  <c r="H628" i="1"/>
  <c r="G628" i="1"/>
  <c r="D628" i="1"/>
  <c r="O627" i="1"/>
  <c r="L627" i="1"/>
  <c r="J627" i="1"/>
  <c r="I627" i="1"/>
  <c r="H627" i="1"/>
  <c r="G627" i="1"/>
  <c r="D627" i="1"/>
  <c r="O626" i="1"/>
  <c r="L626" i="1"/>
  <c r="J626" i="1"/>
  <c r="I626" i="1"/>
  <c r="H626" i="1"/>
  <c r="G626" i="1"/>
  <c r="D626" i="1"/>
  <c r="O625" i="1"/>
  <c r="L625" i="1"/>
  <c r="J625" i="1"/>
  <c r="I625" i="1"/>
  <c r="H625" i="1"/>
  <c r="G625" i="1"/>
  <c r="D625" i="1"/>
  <c r="O624" i="1"/>
  <c r="L624" i="1"/>
  <c r="J624" i="1"/>
  <c r="I624" i="1"/>
  <c r="H624" i="1"/>
  <c r="G624" i="1"/>
  <c r="D624" i="1"/>
  <c r="O623" i="1"/>
  <c r="L623" i="1"/>
  <c r="J623" i="1"/>
  <c r="I623" i="1"/>
  <c r="H623" i="1"/>
  <c r="G623" i="1"/>
  <c r="D623" i="1"/>
  <c r="O622" i="1"/>
  <c r="L622" i="1"/>
  <c r="J622" i="1"/>
  <c r="I622" i="1"/>
  <c r="H622" i="1"/>
  <c r="G622" i="1"/>
  <c r="D622" i="1"/>
  <c r="O621" i="1"/>
  <c r="L621" i="1"/>
  <c r="J621" i="1"/>
  <c r="I621" i="1"/>
  <c r="H621" i="1"/>
  <c r="G621" i="1"/>
  <c r="D621" i="1"/>
  <c r="O620" i="1"/>
  <c r="L620" i="1"/>
  <c r="J620" i="1"/>
  <c r="I620" i="1"/>
  <c r="H620" i="1"/>
  <c r="G620" i="1"/>
  <c r="D620" i="1"/>
  <c r="O619" i="1"/>
  <c r="L619" i="1"/>
  <c r="J619" i="1"/>
  <c r="I619" i="1"/>
  <c r="H619" i="1"/>
  <c r="G619" i="1"/>
  <c r="D619" i="1"/>
  <c r="O618" i="1"/>
  <c r="L618" i="1"/>
  <c r="J618" i="1"/>
  <c r="I618" i="1"/>
  <c r="H618" i="1"/>
  <c r="G618" i="1"/>
  <c r="D618" i="1"/>
  <c r="O617" i="1"/>
  <c r="L617" i="1"/>
  <c r="J617" i="1"/>
  <c r="I617" i="1"/>
  <c r="H617" i="1"/>
  <c r="G617" i="1"/>
  <c r="D617" i="1"/>
  <c r="O616" i="1"/>
  <c r="L616" i="1"/>
  <c r="J616" i="1"/>
  <c r="I616" i="1"/>
  <c r="H616" i="1"/>
  <c r="G616" i="1"/>
  <c r="D616" i="1"/>
  <c r="O615" i="1"/>
  <c r="L615" i="1"/>
  <c r="J615" i="1"/>
  <c r="I615" i="1"/>
  <c r="H615" i="1"/>
  <c r="G615" i="1"/>
  <c r="D615" i="1"/>
  <c r="O614" i="1"/>
  <c r="L614" i="1"/>
  <c r="J614" i="1"/>
  <c r="I614" i="1"/>
  <c r="H614" i="1"/>
  <c r="G614" i="1"/>
  <c r="D614" i="1"/>
  <c r="O613" i="1"/>
  <c r="L613" i="1"/>
  <c r="J613" i="1"/>
  <c r="I613" i="1"/>
  <c r="H613" i="1"/>
  <c r="G613" i="1"/>
  <c r="D613" i="1"/>
  <c r="O612" i="1"/>
  <c r="L612" i="1"/>
  <c r="J612" i="1"/>
  <c r="I612" i="1"/>
  <c r="H612" i="1"/>
  <c r="G612" i="1"/>
  <c r="D612" i="1"/>
  <c r="O611" i="1"/>
  <c r="L611" i="1"/>
  <c r="J611" i="1"/>
  <c r="I611" i="1"/>
  <c r="H611" i="1"/>
  <c r="G611" i="1"/>
  <c r="D611" i="1"/>
  <c r="O610" i="1"/>
  <c r="L610" i="1"/>
  <c r="J610" i="1"/>
  <c r="I610" i="1"/>
  <c r="H610" i="1"/>
  <c r="G610" i="1"/>
  <c r="D610" i="1"/>
  <c r="O609" i="1"/>
  <c r="L609" i="1"/>
  <c r="J609" i="1"/>
  <c r="I609" i="1"/>
  <c r="H609" i="1"/>
  <c r="G609" i="1"/>
  <c r="D609" i="1"/>
  <c r="O608" i="1"/>
  <c r="L608" i="1"/>
  <c r="J608" i="1"/>
  <c r="I608" i="1"/>
  <c r="H608" i="1"/>
  <c r="G608" i="1"/>
  <c r="D608" i="1"/>
  <c r="O607" i="1"/>
  <c r="L607" i="1"/>
  <c r="J607" i="1"/>
  <c r="I607" i="1"/>
  <c r="H607" i="1"/>
  <c r="G607" i="1"/>
  <c r="D607" i="1"/>
  <c r="O606" i="1"/>
  <c r="L606" i="1"/>
  <c r="J606" i="1"/>
  <c r="I606" i="1"/>
  <c r="H606" i="1"/>
  <c r="G606" i="1"/>
  <c r="D606" i="1"/>
  <c r="O605" i="1"/>
  <c r="L605" i="1"/>
  <c r="J605" i="1"/>
  <c r="I605" i="1"/>
  <c r="H605" i="1"/>
  <c r="G605" i="1"/>
  <c r="D605" i="1"/>
  <c r="O604" i="1"/>
  <c r="L604" i="1"/>
  <c r="J604" i="1"/>
  <c r="I604" i="1"/>
  <c r="H604" i="1"/>
  <c r="G604" i="1"/>
  <c r="D604" i="1"/>
  <c r="O603" i="1"/>
  <c r="L603" i="1"/>
  <c r="J603" i="1"/>
  <c r="I603" i="1"/>
  <c r="H603" i="1"/>
  <c r="G603" i="1"/>
  <c r="D603" i="1"/>
  <c r="O602" i="1"/>
  <c r="L602" i="1"/>
  <c r="J602" i="1"/>
  <c r="I602" i="1"/>
  <c r="H602" i="1"/>
  <c r="G602" i="1"/>
  <c r="D602" i="1"/>
  <c r="O601" i="1"/>
  <c r="L601" i="1"/>
  <c r="J601" i="1"/>
  <c r="I601" i="1"/>
  <c r="H601" i="1"/>
  <c r="G601" i="1"/>
  <c r="D601" i="1"/>
  <c r="O600" i="1"/>
  <c r="L600" i="1"/>
  <c r="J600" i="1"/>
  <c r="I600" i="1"/>
  <c r="H600" i="1"/>
  <c r="G600" i="1"/>
  <c r="D600" i="1"/>
  <c r="O599" i="1"/>
  <c r="L599" i="1"/>
  <c r="J599" i="1"/>
  <c r="I599" i="1"/>
  <c r="H599" i="1"/>
  <c r="G599" i="1"/>
  <c r="D599" i="1"/>
  <c r="O598" i="1"/>
  <c r="L598" i="1"/>
  <c r="J598" i="1"/>
  <c r="I598" i="1"/>
  <c r="H598" i="1"/>
  <c r="G598" i="1"/>
  <c r="D598" i="1"/>
  <c r="O597" i="1"/>
  <c r="L597" i="1"/>
  <c r="J597" i="1"/>
  <c r="I597" i="1"/>
  <c r="H597" i="1"/>
  <c r="G597" i="1"/>
  <c r="D597" i="1"/>
  <c r="O596" i="1"/>
  <c r="L596" i="1"/>
  <c r="J596" i="1"/>
  <c r="I596" i="1"/>
  <c r="H596" i="1"/>
  <c r="G596" i="1"/>
  <c r="D596" i="1"/>
  <c r="O595" i="1"/>
  <c r="L595" i="1"/>
  <c r="J595" i="1"/>
  <c r="I595" i="1"/>
  <c r="H595" i="1"/>
  <c r="G595" i="1"/>
  <c r="D595" i="1"/>
  <c r="O594" i="1"/>
  <c r="L594" i="1"/>
  <c r="J594" i="1"/>
  <c r="I594" i="1"/>
  <c r="H594" i="1"/>
  <c r="G594" i="1"/>
  <c r="D594" i="1"/>
  <c r="O593" i="1"/>
  <c r="L593" i="1"/>
  <c r="J593" i="1"/>
  <c r="I593" i="1"/>
  <c r="H593" i="1"/>
  <c r="G593" i="1"/>
  <c r="D593" i="1"/>
  <c r="O592" i="1"/>
  <c r="L592" i="1"/>
  <c r="J592" i="1"/>
  <c r="I592" i="1"/>
  <c r="H592" i="1"/>
  <c r="G592" i="1"/>
  <c r="D592" i="1"/>
  <c r="O591" i="1"/>
  <c r="L591" i="1"/>
  <c r="J591" i="1"/>
  <c r="I591" i="1"/>
  <c r="H591" i="1"/>
  <c r="G591" i="1"/>
  <c r="D591" i="1"/>
  <c r="O590" i="1"/>
  <c r="L590" i="1"/>
  <c r="J590" i="1"/>
  <c r="I590" i="1"/>
  <c r="H590" i="1"/>
  <c r="G590" i="1"/>
  <c r="D590" i="1"/>
  <c r="O589" i="1"/>
  <c r="L589" i="1"/>
  <c r="J589" i="1"/>
  <c r="I589" i="1"/>
  <c r="H589" i="1"/>
  <c r="G589" i="1"/>
  <c r="D589" i="1"/>
  <c r="O588" i="1"/>
  <c r="L588" i="1"/>
  <c r="J588" i="1"/>
  <c r="I588" i="1"/>
  <c r="H588" i="1"/>
  <c r="G588" i="1"/>
  <c r="D588" i="1"/>
  <c r="O587" i="1"/>
  <c r="L587" i="1"/>
  <c r="J587" i="1"/>
  <c r="I587" i="1"/>
  <c r="H587" i="1"/>
  <c r="G587" i="1"/>
  <c r="D587" i="1"/>
  <c r="O586" i="1"/>
  <c r="L586" i="1"/>
  <c r="J586" i="1"/>
  <c r="I586" i="1"/>
  <c r="H586" i="1"/>
  <c r="G586" i="1"/>
  <c r="D586" i="1"/>
  <c r="O585" i="1"/>
  <c r="L585" i="1"/>
  <c r="J585" i="1"/>
  <c r="I585" i="1"/>
  <c r="H585" i="1"/>
  <c r="G585" i="1"/>
  <c r="D585" i="1"/>
  <c r="O584" i="1"/>
  <c r="L584" i="1"/>
  <c r="J584" i="1"/>
  <c r="I584" i="1"/>
  <c r="H584" i="1"/>
  <c r="G584" i="1"/>
  <c r="D584" i="1"/>
  <c r="O583" i="1"/>
  <c r="L583" i="1"/>
  <c r="J583" i="1"/>
  <c r="I583" i="1"/>
  <c r="H583" i="1"/>
  <c r="G583" i="1"/>
  <c r="D583" i="1"/>
  <c r="O582" i="1"/>
  <c r="L582" i="1"/>
  <c r="J582" i="1"/>
  <c r="I582" i="1"/>
  <c r="H582" i="1"/>
  <c r="G582" i="1"/>
  <c r="D582" i="1"/>
  <c r="O581" i="1"/>
  <c r="L581" i="1"/>
  <c r="J581" i="1"/>
  <c r="I581" i="1"/>
  <c r="H581" i="1"/>
  <c r="G581" i="1"/>
  <c r="D581" i="1"/>
  <c r="O580" i="1"/>
  <c r="L580" i="1"/>
  <c r="J580" i="1"/>
  <c r="I580" i="1"/>
  <c r="H580" i="1"/>
  <c r="G580" i="1"/>
  <c r="D580" i="1"/>
  <c r="O579" i="1"/>
  <c r="L579" i="1"/>
  <c r="J579" i="1"/>
  <c r="I579" i="1"/>
  <c r="H579" i="1"/>
  <c r="G579" i="1"/>
  <c r="D579" i="1"/>
  <c r="O578" i="1"/>
  <c r="L578" i="1"/>
  <c r="J578" i="1"/>
  <c r="I578" i="1"/>
  <c r="H578" i="1"/>
  <c r="G578" i="1"/>
  <c r="D578" i="1"/>
  <c r="O577" i="1"/>
  <c r="L577" i="1"/>
  <c r="J577" i="1"/>
  <c r="I577" i="1"/>
  <c r="H577" i="1"/>
  <c r="G577" i="1"/>
  <c r="D577" i="1"/>
  <c r="O576" i="1"/>
  <c r="L576" i="1"/>
  <c r="J576" i="1"/>
  <c r="I576" i="1"/>
  <c r="H576" i="1"/>
  <c r="G576" i="1"/>
  <c r="D576" i="1"/>
  <c r="O575" i="1"/>
  <c r="L575" i="1"/>
  <c r="J575" i="1"/>
  <c r="I575" i="1"/>
  <c r="H575" i="1"/>
  <c r="G575" i="1"/>
  <c r="D575" i="1"/>
  <c r="O574" i="1"/>
  <c r="L574" i="1"/>
  <c r="J574" i="1"/>
  <c r="I574" i="1"/>
  <c r="H574" i="1"/>
  <c r="G574" i="1"/>
  <c r="D574" i="1"/>
  <c r="O573" i="1"/>
  <c r="L573" i="1"/>
  <c r="J573" i="1"/>
  <c r="I573" i="1"/>
  <c r="H573" i="1"/>
  <c r="G573" i="1"/>
  <c r="D573" i="1"/>
  <c r="O572" i="1"/>
  <c r="L572" i="1"/>
  <c r="J572" i="1"/>
  <c r="I572" i="1"/>
  <c r="H572" i="1"/>
  <c r="G572" i="1"/>
  <c r="D572" i="1"/>
  <c r="O571" i="1"/>
  <c r="L571" i="1"/>
  <c r="J571" i="1"/>
  <c r="I571" i="1"/>
  <c r="H571" i="1"/>
  <c r="G571" i="1"/>
  <c r="D571" i="1"/>
  <c r="O570" i="1"/>
  <c r="L570" i="1"/>
  <c r="J570" i="1"/>
  <c r="I570" i="1"/>
  <c r="H570" i="1"/>
  <c r="G570" i="1"/>
  <c r="D570" i="1"/>
  <c r="O569" i="1"/>
  <c r="L569" i="1"/>
  <c r="J569" i="1"/>
  <c r="I569" i="1"/>
  <c r="H569" i="1"/>
  <c r="G569" i="1"/>
  <c r="D569" i="1"/>
  <c r="O568" i="1"/>
  <c r="L568" i="1"/>
  <c r="J568" i="1"/>
  <c r="I568" i="1"/>
  <c r="H568" i="1"/>
  <c r="G568" i="1"/>
  <c r="D568" i="1"/>
  <c r="O567" i="1"/>
  <c r="L567" i="1"/>
  <c r="J567" i="1"/>
  <c r="I567" i="1"/>
  <c r="H567" i="1"/>
  <c r="G567" i="1"/>
  <c r="D567" i="1"/>
  <c r="O566" i="1"/>
  <c r="L566" i="1"/>
  <c r="J566" i="1"/>
  <c r="I566" i="1"/>
  <c r="H566" i="1"/>
  <c r="G566" i="1"/>
  <c r="D566" i="1"/>
  <c r="O565" i="1"/>
  <c r="L565" i="1"/>
  <c r="J565" i="1"/>
  <c r="I565" i="1"/>
  <c r="H565" i="1"/>
  <c r="G565" i="1"/>
  <c r="D565" i="1"/>
  <c r="O564" i="1"/>
  <c r="L564" i="1"/>
  <c r="J564" i="1"/>
  <c r="I564" i="1"/>
  <c r="H564" i="1"/>
  <c r="G564" i="1"/>
  <c r="D564" i="1"/>
  <c r="O563" i="1"/>
  <c r="L563" i="1"/>
  <c r="J563" i="1"/>
  <c r="I563" i="1"/>
  <c r="H563" i="1"/>
  <c r="G563" i="1"/>
  <c r="D563" i="1"/>
  <c r="O562" i="1"/>
  <c r="L562" i="1"/>
  <c r="J562" i="1"/>
  <c r="I562" i="1"/>
  <c r="H562" i="1"/>
  <c r="G562" i="1"/>
  <c r="D562" i="1"/>
  <c r="O561" i="1"/>
  <c r="L561" i="1"/>
  <c r="J561" i="1"/>
  <c r="I561" i="1"/>
  <c r="H561" i="1"/>
  <c r="G561" i="1"/>
  <c r="D561" i="1"/>
  <c r="O560" i="1"/>
  <c r="L560" i="1"/>
  <c r="J560" i="1"/>
  <c r="I560" i="1"/>
  <c r="H560" i="1"/>
  <c r="G560" i="1"/>
  <c r="D560" i="1"/>
  <c r="O559" i="1"/>
  <c r="L559" i="1"/>
  <c r="J559" i="1"/>
  <c r="I559" i="1"/>
  <c r="H559" i="1"/>
  <c r="G559" i="1"/>
  <c r="D559" i="1"/>
  <c r="O558" i="1"/>
  <c r="L558" i="1"/>
  <c r="J558" i="1"/>
  <c r="I558" i="1"/>
  <c r="H558" i="1"/>
  <c r="G558" i="1"/>
  <c r="D558" i="1"/>
  <c r="O557" i="1"/>
  <c r="L557" i="1"/>
  <c r="J557" i="1"/>
  <c r="I557" i="1"/>
  <c r="H557" i="1"/>
  <c r="G557" i="1"/>
  <c r="D557" i="1"/>
  <c r="O556" i="1"/>
  <c r="L556" i="1"/>
  <c r="J556" i="1"/>
  <c r="I556" i="1"/>
  <c r="H556" i="1"/>
  <c r="G556" i="1"/>
  <c r="D556" i="1"/>
  <c r="O555" i="1"/>
  <c r="L555" i="1"/>
  <c r="J555" i="1"/>
  <c r="I555" i="1"/>
  <c r="H555" i="1"/>
  <c r="G555" i="1"/>
  <c r="D555" i="1"/>
  <c r="O554" i="1"/>
  <c r="L554" i="1"/>
  <c r="J554" i="1"/>
  <c r="I554" i="1"/>
  <c r="H554" i="1"/>
  <c r="G554" i="1"/>
  <c r="D554" i="1"/>
  <c r="O553" i="1"/>
  <c r="L553" i="1"/>
  <c r="J553" i="1"/>
  <c r="I553" i="1"/>
  <c r="H553" i="1"/>
  <c r="G553" i="1"/>
  <c r="D553" i="1"/>
  <c r="O552" i="1"/>
  <c r="L552" i="1"/>
  <c r="J552" i="1"/>
  <c r="I552" i="1"/>
  <c r="H552" i="1"/>
  <c r="G552" i="1"/>
  <c r="D552" i="1"/>
  <c r="O551" i="1"/>
  <c r="L551" i="1"/>
  <c r="J551" i="1"/>
  <c r="I551" i="1"/>
  <c r="H551" i="1"/>
  <c r="G551" i="1"/>
  <c r="D551" i="1"/>
  <c r="O550" i="1"/>
  <c r="L550" i="1"/>
  <c r="J550" i="1"/>
  <c r="I550" i="1"/>
  <c r="H550" i="1"/>
  <c r="G550" i="1"/>
  <c r="D550" i="1"/>
  <c r="O549" i="1"/>
  <c r="L549" i="1"/>
  <c r="J549" i="1"/>
  <c r="I549" i="1"/>
  <c r="H549" i="1"/>
  <c r="G549" i="1"/>
  <c r="D549" i="1"/>
  <c r="O548" i="1"/>
  <c r="L548" i="1"/>
  <c r="J548" i="1"/>
  <c r="I548" i="1"/>
  <c r="H548" i="1"/>
  <c r="G548" i="1"/>
  <c r="D548" i="1"/>
  <c r="O547" i="1"/>
  <c r="L547" i="1"/>
  <c r="J547" i="1"/>
  <c r="I547" i="1"/>
  <c r="H547" i="1"/>
  <c r="G547" i="1"/>
  <c r="D547" i="1"/>
  <c r="O546" i="1"/>
  <c r="L546" i="1"/>
  <c r="J546" i="1"/>
  <c r="I546" i="1"/>
  <c r="H546" i="1"/>
  <c r="G546" i="1"/>
  <c r="D546" i="1"/>
  <c r="O545" i="1"/>
  <c r="L545" i="1"/>
  <c r="J545" i="1"/>
  <c r="I545" i="1"/>
  <c r="H545" i="1"/>
  <c r="G545" i="1"/>
  <c r="D545" i="1"/>
  <c r="O544" i="1"/>
  <c r="L544" i="1"/>
  <c r="J544" i="1"/>
  <c r="I544" i="1"/>
  <c r="H544" i="1"/>
  <c r="G544" i="1"/>
  <c r="D544" i="1"/>
  <c r="O543" i="1"/>
  <c r="L543" i="1"/>
  <c r="J543" i="1"/>
  <c r="I543" i="1"/>
  <c r="H543" i="1"/>
  <c r="G543" i="1"/>
  <c r="D543" i="1"/>
  <c r="O542" i="1"/>
  <c r="L542" i="1"/>
  <c r="J542" i="1"/>
  <c r="I542" i="1"/>
  <c r="H542" i="1"/>
  <c r="G542" i="1"/>
  <c r="D542" i="1"/>
  <c r="O541" i="1"/>
  <c r="L541" i="1"/>
  <c r="J541" i="1"/>
  <c r="I541" i="1"/>
  <c r="H541" i="1"/>
  <c r="G541" i="1"/>
  <c r="D541" i="1"/>
  <c r="O540" i="1"/>
  <c r="L540" i="1"/>
  <c r="J540" i="1"/>
  <c r="I540" i="1"/>
  <c r="H540" i="1"/>
  <c r="G540" i="1"/>
  <c r="D540" i="1"/>
  <c r="O539" i="1"/>
  <c r="L539" i="1"/>
  <c r="J539" i="1"/>
  <c r="I539" i="1"/>
  <c r="H539" i="1"/>
  <c r="G539" i="1"/>
  <c r="D539" i="1"/>
  <c r="O538" i="1"/>
  <c r="L538" i="1"/>
  <c r="J538" i="1"/>
  <c r="I538" i="1"/>
  <c r="H538" i="1"/>
  <c r="G538" i="1"/>
  <c r="D538" i="1"/>
  <c r="O537" i="1"/>
  <c r="L537" i="1"/>
  <c r="J537" i="1"/>
  <c r="I537" i="1"/>
  <c r="H537" i="1"/>
  <c r="G537" i="1"/>
  <c r="D537" i="1"/>
  <c r="O536" i="1"/>
  <c r="L536" i="1"/>
  <c r="J536" i="1"/>
  <c r="I536" i="1"/>
  <c r="H536" i="1"/>
  <c r="G536" i="1"/>
  <c r="D536" i="1"/>
  <c r="O535" i="1"/>
  <c r="L535" i="1"/>
  <c r="J535" i="1"/>
  <c r="I535" i="1"/>
  <c r="H535" i="1"/>
  <c r="G535" i="1"/>
  <c r="D535" i="1"/>
  <c r="O534" i="1"/>
  <c r="L534" i="1"/>
  <c r="J534" i="1"/>
  <c r="I534" i="1"/>
  <c r="H534" i="1"/>
  <c r="G534" i="1"/>
  <c r="D534" i="1"/>
  <c r="O533" i="1"/>
  <c r="L533" i="1"/>
  <c r="J533" i="1"/>
  <c r="I533" i="1"/>
  <c r="H533" i="1"/>
  <c r="G533" i="1"/>
  <c r="D533" i="1"/>
  <c r="O532" i="1"/>
  <c r="L532" i="1"/>
  <c r="J532" i="1"/>
  <c r="I532" i="1"/>
  <c r="H532" i="1"/>
  <c r="G532" i="1"/>
  <c r="D532" i="1"/>
  <c r="O531" i="1"/>
  <c r="L531" i="1"/>
  <c r="J531" i="1"/>
  <c r="I531" i="1"/>
  <c r="H531" i="1"/>
  <c r="G531" i="1"/>
  <c r="D531" i="1"/>
  <c r="O530" i="1"/>
  <c r="L530" i="1"/>
  <c r="J530" i="1"/>
  <c r="I530" i="1"/>
  <c r="H530" i="1"/>
  <c r="G530" i="1"/>
  <c r="D530" i="1"/>
  <c r="O529" i="1"/>
  <c r="L529" i="1"/>
  <c r="J529" i="1"/>
  <c r="I529" i="1"/>
  <c r="H529" i="1"/>
  <c r="G529" i="1"/>
  <c r="D529" i="1"/>
  <c r="O528" i="1"/>
  <c r="L528" i="1"/>
  <c r="J528" i="1"/>
  <c r="I528" i="1"/>
  <c r="H528" i="1"/>
  <c r="G528" i="1"/>
  <c r="D528" i="1"/>
  <c r="O527" i="1"/>
  <c r="L527" i="1"/>
  <c r="J527" i="1"/>
  <c r="I527" i="1"/>
  <c r="H527" i="1"/>
  <c r="G527" i="1"/>
  <c r="D527" i="1"/>
  <c r="O526" i="1"/>
  <c r="L526" i="1"/>
  <c r="J526" i="1"/>
  <c r="I526" i="1"/>
  <c r="H526" i="1"/>
  <c r="G526" i="1"/>
  <c r="D526" i="1"/>
  <c r="O525" i="1"/>
  <c r="L525" i="1"/>
  <c r="J525" i="1"/>
  <c r="I525" i="1"/>
  <c r="H525" i="1"/>
  <c r="G525" i="1"/>
  <c r="D525" i="1"/>
  <c r="O524" i="1"/>
  <c r="L524" i="1"/>
  <c r="J524" i="1"/>
  <c r="I524" i="1"/>
  <c r="H524" i="1"/>
  <c r="G524" i="1"/>
  <c r="D524" i="1"/>
  <c r="O523" i="1"/>
  <c r="L523" i="1"/>
  <c r="J523" i="1"/>
  <c r="I523" i="1"/>
  <c r="H523" i="1"/>
  <c r="G523" i="1"/>
  <c r="D523" i="1"/>
  <c r="O522" i="1"/>
  <c r="L522" i="1"/>
  <c r="J522" i="1"/>
  <c r="I522" i="1"/>
  <c r="H522" i="1"/>
  <c r="G522" i="1"/>
  <c r="D522" i="1"/>
  <c r="O521" i="1"/>
  <c r="L521" i="1"/>
  <c r="J521" i="1"/>
  <c r="I521" i="1"/>
  <c r="H521" i="1"/>
  <c r="G521" i="1"/>
  <c r="D521" i="1"/>
  <c r="O520" i="1"/>
  <c r="L520" i="1"/>
  <c r="J520" i="1"/>
  <c r="I520" i="1"/>
  <c r="H520" i="1"/>
  <c r="G520" i="1"/>
  <c r="D520" i="1"/>
  <c r="O519" i="1"/>
  <c r="L519" i="1"/>
  <c r="J519" i="1"/>
  <c r="I519" i="1"/>
  <c r="H519" i="1"/>
  <c r="G519" i="1"/>
  <c r="D519" i="1"/>
  <c r="O518" i="1"/>
  <c r="L518" i="1"/>
  <c r="J518" i="1"/>
  <c r="I518" i="1"/>
  <c r="H518" i="1"/>
  <c r="G518" i="1"/>
  <c r="D518" i="1"/>
  <c r="O517" i="1"/>
  <c r="L517" i="1"/>
  <c r="J517" i="1"/>
  <c r="I517" i="1"/>
  <c r="H517" i="1"/>
  <c r="G517" i="1"/>
  <c r="D517" i="1"/>
  <c r="O516" i="1"/>
  <c r="L516" i="1"/>
  <c r="J516" i="1"/>
  <c r="I516" i="1"/>
  <c r="H516" i="1"/>
  <c r="G516" i="1"/>
  <c r="D516" i="1"/>
  <c r="O515" i="1"/>
  <c r="L515" i="1"/>
  <c r="J515" i="1"/>
  <c r="I515" i="1"/>
  <c r="H515" i="1"/>
  <c r="G515" i="1"/>
  <c r="D515" i="1"/>
  <c r="O514" i="1"/>
  <c r="L514" i="1"/>
  <c r="J514" i="1"/>
  <c r="I514" i="1"/>
  <c r="H514" i="1"/>
  <c r="G514" i="1"/>
  <c r="D514" i="1"/>
  <c r="O513" i="1"/>
  <c r="L513" i="1"/>
  <c r="J513" i="1"/>
  <c r="I513" i="1"/>
  <c r="H513" i="1"/>
  <c r="G513" i="1"/>
  <c r="D513" i="1"/>
  <c r="O512" i="1"/>
  <c r="L512" i="1"/>
  <c r="J512" i="1"/>
  <c r="I512" i="1"/>
  <c r="H512" i="1"/>
  <c r="G512" i="1"/>
  <c r="D512" i="1"/>
  <c r="O511" i="1"/>
  <c r="L511" i="1"/>
  <c r="J511" i="1"/>
  <c r="I511" i="1"/>
  <c r="H511" i="1"/>
  <c r="G511" i="1"/>
  <c r="D511" i="1"/>
  <c r="O510" i="1"/>
  <c r="L510" i="1"/>
  <c r="J510" i="1"/>
  <c r="I510" i="1"/>
  <c r="H510" i="1"/>
  <c r="G510" i="1"/>
  <c r="D510" i="1"/>
  <c r="O509" i="1"/>
  <c r="L509" i="1"/>
  <c r="J509" i="1"/>
  <c r="I509" i="1"/>
  <c r="H509" i="1"/>
  <c r="G509" i="1"/>
  <c r="D509" i="1"/>
  <c r="O508" i="1"/>
  <c r="L508" i="1"/>
  <c r="J508" i="1"/>
  <c r="I508" i="1"/>
  <c r="H508" i="1"/>
  <c r="G508" i="1"/>
  <c r="D508" i="1"/>
  <c r="O507" i="1"/>
  <c r="L507" i="1"/>
  <c r="J507" i="1"/>
  <c r="I507" i="1"/>
  <c r="H507" i="1"/>
  <c r="G507" i="1"/>
  <c r="D507" i="1"/>
  <c r="O506" i="1"/>
  <c r="L506" i="1"/>
  <c r="J506" i="1"/>
  <c r="I506" i="1"/>
  <c r="H506" i="1"/>
  <c r="G506" i="1"/>
  <c r="D506" i="1"/>
  <c r="O505" i="1"/>
  <c r="L505" i="1"/>
  <c r="J505" i="1"/>
  <c r="I505" i="1"/>
  <c r="H505" i="1"/>
  <c r="G505" i="1"/>
  <c r="D505" i="1"/>
  <c r="O504" i="1"/>
  <c r="L504" i="1"/>
  <c r="J504" i="1"/>
  <c r="I504" i="1"/>
  <c r="H504" i="1"/>
  <c r="G504" i="1"/>
  <c r="D504" i="1"/>
  <c r="O503" i="1"/>
  <c r="L503" i="1"/>
  <c r="J503" i="1"/>
  <c r="I503" i="1"/>
  <c r="H503" i="1"/>
  <c r="G503" i="1"/>
  <c r="D503" i="1"/>
  <c r="O502" i="1"/>
  <c r="L502" i="1"/>
  <c r="J502" i="1"/>
  <c r="I502" i="1"/>
  <c r="H502" i="1"/>
  <c r="G502" i="1"/>
  <c r="D502" i="1"/>
  <c r="O501" i="1"/>
  <c r="L501" i="1"/>
  <c r="J501" i="1"/>
  <c r="I501" i="1"/>
  <c r="H501" i="1"/>
  <c r="G501" i="1"/>
  <c r="D501" i="1"/>
  <c r="O500" i="1"/>
  <c r="L500" i="1"/>
  <c r="J500" i="1"/>
  <c r="I500" i="1"/>
  <c r="H500" i="1"/>
  <c r="G500" i="1"/>
  <c r="D500" i="1"/>
  <c r="O499" i="1"/>
  <c r="L499" i="1"/>
  <c r="J499" i="1"/>
  <c r="I499" i="1"/>
  <c r="H499" i="1"/>
  <c r="G499" i="1"/>
  <c r="D499" i="1"/>
  <c r="O498" i="1"/>
  <c r="L498" i="1"/>
  <c r="J498" i="1"/>
  <c r="I498" i="1"/>
  <c r="H498" i="1"/>
  <c r="G498" i="1"/>
  <c r="D498" i="1"/>
  <c r="O497" i="1"/>
  <c r="L497" i="1"/>
  <c r="J497" i="1"/>
  <c r="I497" i="1"/>
  <c r="H497" i="1"/>
  <c r="G497" i="1"/>
  <c r="D497" i="1"/>
  <c r="O496" i="1"/>
  <c r="L496" i="1"/>
  <c r="J496" i="1"/>
  <c r="I496" i="1"/>
  <c r="H496" i="1"/>
  <c r="G496" i="1"/>
  <c r="D496" i="1"/>
  <c r="O495" i="1"/>
  <c r="L495" i="1"/>
  <c r="J495" i="1"/>
  <c r="I495" i="1"/>
  <c r="H495" i="1"/>
  <c r="G495" i="1"/>
  <c r="D495" i="1"/>
  <c r="O494" i="1"/>
  <c r="L494" i="1"/>
  <c r="J494" i="1"/>
  <c r="I494" i="1"/>
  <c r="H494" i="1"/>
  <c r="G494" i="1"/>
  <c r="D494" i="1"/>
  <c r="O493" i="1"/>
  <c r="L493" i="1"/>
  <c r="J493" i="1"/>
  <c r="I493" i="1"/>
  <c r="H493" i="1"/>
  <c r="G493" i="1"/>
  <c r="D493" i="1"/>
  <c r="O492" i="1"/>
  <c r="L492" i="1"/>
  <c r="J492" i="1"/>
  <c r="I492" i="1"/>
  <c r="H492" i="1"/>
  <c r="G492" i="1"/>
  <c r="D492" i="1"/>
  <c r="O491" i="1"/>
  <c r="L491" i="1"/>
  <c r="J491" i="1"/>
  <c r="I491" i="1"/>
  <c r="H491" i="1"/>
  <c r="G491" i="1"/>
  <c r="D491" i="1"/>
  <c r="O490" i="1"/>
  <c r="L490" i="1"/>
  <c r="J490" i="1"/>
  <c r="I490" i="1"/>
  <c r="H490" i="1"/>
  <c r="G490" i="1"/>
  <c r="D490" i="1"/>
  <c r="O489" i="1"/>
  <c r="L489" i="1"/>
  <c r="J489" i="1"/>
  <c r="I489" i="1"/>
  <c r="H489" i="1"/>
  <c r="G489" i="1"/>
  <c r="D489" i="1"/>
  <c r="O488" i="1"/>
  <c r="L488" i="1"/>
  <c r="J488" i="1"/>
  <c r="I488" i="1"/>
  <c r="H488" i="1"/>
  <c r="G488" i="1"/>
  <c r="D488" i="1"/>
  <c r="O487" i="1"/>
  <c r="L487" i="1"/>
  <c r="J487" i="1"/>
  <c r="I487" i="1"/>
  <c r="H487" i="1"/>
  <c r="G487" i="1"/>
  <c r="D487" i="1"/>
  <c r="O486" i="1"/>
  <c r="L486" i="1"/>
  <c r="J486" i="1"/>
  <c r="I486" i="1"/>
  <c r="H486" i="1"/>
  <c r="G486" i="1"/>
  <c r="D486" i="1"/>
  <c r="O485" i="1"/>
  <c r="L485" i="1"/>
  <c r="J485" i="1"/>
  <c r="I485" i="1"/>
  <c r="H485" i="1"/>
  <c r="G485" i="1"/>
  <c r="D485" i="1"/>
  <c r="O484" i="1"/>
  <c r="L484" i="1"/>
  <c r="J484" i="1"/>
  <c r="I484" i="1"/>
  <c r="H484" i="1"/>
  <c r="G484" i="1"/>
  <c r="D484" i="1"/>
  <c r="O483" i="1"/>
  <c r="L483" i="1"/>
  <c r="J483" i="1"/>
  <c r="I483" i="1"/>
  <c r="H483" i="1"/>
  <c r="G483" i="1"/>
  <c r="D483" i="1"/>
  <c r="O482" i="1"/>
  <c r="L482" i="1"/>
  <c r="J482" i="1"/>
  <c r="I482" i="1"/>
  <c r="H482" i="1"/>
  <c r="G482" i="1"/>
  <c r="D482" i="1"/>
  <c r="O481" i="1"/>
  <c r="L481" i="1"/>
  <c r="J481" i="1"/>
  <c r="I481" i="1"/>
  <c r="H481" i="1"/>
  <c r="G481" i="1"/>
  <c r="D481" i="1"/>
  <c r="O480" i="1"/>
  <c r="L480" i="1"/>
  <c r="J480" i="1"/>
  <c r="I480" i="1"/>
  <c r="H480" i="1"/>
  <c r="G480" i="1"/>
  <c r="D480" i="1"/>
  <c r="O479" i="1"/>
  <c r="L479" i="1"/>
  <c r="J479" i="1"/>
  <c r="I479" i="1"/>
  <c r="H479" i="1"/>
  <c r="G479" i="1"/>
  <c r="D479" i="1"/>
  <c r="O478" i="1"/>
  <c r="L478" i="1"/>
  <c r="J478" i="1"/>
  <c r="I478" i="1"/>
  <c r="H478" i="1"/>
  <c r="G478" i="1"/>
  <c r="D478" i="1"/>
  <c r="O477" i="1"/>
  <c r="L477" i="1"/>
  <c r="J477" i="1"/>
  <c r="I477" i="1"/>
  <c r="H477" i="1"/>
  <c r="G477" i="1"/>
  <c r="D477" i="1"/>
  <c r="O476" i="1"/>
  <c r="L476" i="1"/>
  <c r="J476" i="1"/>
  <c r="I476" i="1"/>
  <c r="H476" i="1"/>
  <c r="G476" i="1"/>
  <c r="D476" i="1"/>
  <c r="O475" i="1"/>
  <c r="L475" i="1"/>
  <c r="J475" i="1"/>
  <c r="I475" i="1"/>
  <c r="H475" i="1"/>
  <c r="G475" i="1"/>
  <c r="D475" i="1"/>
  <c r="O474" i="1"/>
  <c r="L474" i="1"/>
  <c r="J474" i="1"/>
  <c r="I474" i="1"/>
  <c r="H474" i="1"/>
  <c r="G474" i="1"/>
  <c r="D474" i="1"/>
  <c r="O473" i="1"/>
  <c r="L473" i="1"/>
  <c r="J473" i="1"/>
  <c r="I473" i="1"/>
  <c r="H473" i="1"/>
  <c r="G473" i="1"/>
  <c r="D473" i="1"/>
  <c r="O472" i="1"/>
  <c r="L472" i="1"/>
  <c r="J472" i="1"/>
  <c r="I472" i="1"/>
  <c r="H472" i="1"/>
  <c r="G472" i="1"/>
  <c r="D472" i="1"/>
  <c r="O471" i="1"/>
  <c r="L471" i="1"/>
  <c r="J471" i="1"/>
  <c r="I471" i="1"/>
  <c r="H471" i="1"/>
  <c r="G471" i="1"/>
  <c r="D471" i="1"/>
  <c r="O470" i="1"/>
  <c r="L470" i="1"/>
  <c r="J470" i="1"/>
  <c r="I470" i="1"/>
  <c r="H470" i="1"/>
  <c r="G470" i="1"/>
  <c r="D470" i="1"/>
  <c r="O469" i="1"/>
  <c r="L469" i="1"/>
  <c r="J469" i="1"/>
  <c r="I469" i="1"/>
  <c r="H469" i="1"/>
  <c r="G469" i="1"/>
  <c r="D469" i="1"/>
  <c r="O468" i="1"/>
  <c r="L468" i="1"/>
  <c r="J468" i="1"/>
  <c r="I468" i="1"/>
  <c r="H468" i="1"/>
  <c r="G468" i="1"/>
  <c r="D468" i="1"/>
  <c r="O467" i="1"/>
  <c r="L467" i="1"/>
  <c r="J467" i="1"/>
  <c r="I467" i="1"/>
  <c r="H467" i="1"/>
  <c r="G467" i="1"/>
  <c r="D467" i="1"/>
  <c r="O466" i="1"/>
  <c r="L466" i="1"/>
  <c r="J466" i="1"/>
  <c r="I466" i="1"/>
  <c r="H466" i="1"/>
  <c r="G466" i="1"/>
  <c r="D466" i="1"/>
  <c r="O465" i="1"/>
  <c r="L465" i="1"/>
  <c r="J465" i="1"/>
  <c r="I465" i="1"/>
  <c r="H465" i="1"/>
  <c r="G465" i="1"/>
  <c r="D465" i="1"/>
  <c r="O464" i="1"/>
  <c r="L464" i="1"/>
  <c r="J464" i="1"/>
  <c r="I464" i="1"/>
  <c r="H464" i="1"/>
  <c r="G464" i="1"/>
  <c r="D464" i="1"/>
  <c r="O463" i="1"/>
  <c r="L463" i="1"/>
  <c r="J463" i="1"/>
  <c r="I463" i="1"/>
  <c r="H463" i="1"/>
  <c r="G463" i="1"/>
  <c r="D463" i="1"/>
  <c r="O462" i="1"/>
  <c r="L462" i="1"/>
  <c r="J462" i="1"/>
  <c r="I462" i="1"/>
  <c r="H462" i="1"/>
  <c r="G462" i="1"/>
  <c r="D462" i="1"/>
  <c r="O461" i="1"/>
  <c r="L461" i="1"/>
  <c r="J461" i="1"/>
  <c r="I461" i="1"/>
  <c r="H461" i="1"/>
  <c r="G461" i="1"/>
  <c r="D461" i="1"/>
  <c r="O460" i="1"/>
  <c r="L460" i="1"/>
  <c r="J460" i="1"/>
  <c r="I460" i="1"/>
  <c r="H460" i="1"/>
  <c r="G460" i="1"/>
  <c r="D460" i="1"/>
  <c r="O459" i="1"/>
  <c r="L459" i="1"/>
  <c r="J459" i="1"/>
  <c r="I459" i="1"/>
  <c r="H459" i="1"/>
  <c r="G459" i="1"/>
  <c r="D459" i="1"/>
  <c r="O458" i="1"/>
  <c r="L458" i="1"/>
  <c r="J458" i="1"/>
  <c r="I458" i="1"/>
  <c r="H458" i="1"/>
  <c r="G458" i="1"/>
  <c r="D458" i="1"/>
  <c r="O457" i="1"/>
  <c r="L457" i="1"/>
  <c r="J457" i="1"/>
  <c r="I457" i="1"/>
  <c r="H457" i="1"/>
  <c r="G457" i="1"/>
  <c r="D457" i="1"/>
  <c r="O456" i="1"/>
  <c r="L456" i="1"/>
  <c r="J456" i="1"/>
  <c r="I456" i="1"/>
  <c r="H456" i="1"/>
  <c r="G456" i="1"/>
  <c r="D456" i="1"/>
  <c r="O455" i="1"/>
  <c r="L455" i="1"/>
  <c r="J455" i="1"/>
  <c r="I455" i="1"/>
  <c r="H455" i="1"/>
  <c r="G455" i="1"/>
  <c r="D455" i="1"/>
  <c r="O454" i="1"/>
  <c r="L454" i="1"/>
  <c r="J454" i="1"/>
  <c r="I454" i="1"/>
  <c r="H454" i="1"/>
  <c r="G454" i="1"/>
  <c r="D454" i="1"/>
  <c r="O453" i="1"/>
  <c r="L453" i="1"/>
  <c r="J453" i="1"/>
  <c r="I453" i="1"/>
  <c r="H453" i="1"/>
  <c r="G453" i="1"/>
  <c r="D453" i="1"/>
  <c r="O452" i="1"/>
  <c r="L452" i="1"/>
  <c r="J452" i="1"/>
  <c r="I452" i="1"/>
  <c r="H452" i="1"/>
  <c r="G452" i="1"/>
  <c r="D452" i="1"/>
  <c r="O451" i="1"/>
  <c r="L451" i="1"/>
  <c r="J451" i="1"/>
  <c r="I451" i="1"/>
  <c r="H451" i="1"/>
  <c r="G451" i="1"/>
  <c r="D451" i="1"/>
  <c r="O450" i="1"/>
  <c r="L450" i="1"/>
  <c r="J450" i="1"/>
  <c r="I450" i="1"/>
  <c r="H450" i="1"/>
  <c r="G450" i="1"/>
  <c r="D450" i="1"/>
  <c r="O449" i="1"/>
  <c r="L449" i="1"/>
  <c r="J449" i="1"/>
  <c r="I449" i="1"/>
  <c r="H449" i="1"/>
  <c r="G449" i="1"/>
  <c r="D449" i="1"/>
  <c r="O448" i="1"/>
  <c r="L448" i="1"/>
  <c r="J448" i="1"/>
  <c r="I448" i="1"/>
  <c r="H448" i="1"/>
  <c r="G448" i="1"/>
  <c r="D448" i="1"/>
  <c r="O447" i="1"/>
  <c r="L447" i="1"/>
  <c r="J447" i="1"/>
  <c r="I447" i="1"/>
  <c r="H447" i="1"/>
  <c r="G447" i="1"/>
  <c r="D447" i="1"/>
  <c r="O446" i="1"/>
  <c r="L446" i="1"/>
  <c r="J446" i="1"/>
  <c r="I446" i="1"/>
  <c r="H446" i="1"/>
  <c r="G446" i="1"/>
  <c r="D446" i="1"/>
  <c r="O445" i="1"/>
  <c r="L445" i="1"/>
  <c r="J445" i="1"/>
  <c r="I445" i="1"/>
  <c r="H445" i="1"/>
  <c r="G445" i="1"/>
  <c r="D445" i="1"/>
  <c r="O444" i="1"/>
  <c r="L444" i="1"/>
  <c r="J444" i="1"/>
  <c r="I444" i="1"/>
  <c r="H444" i="1"/>
  <c r="G444" i="1"/>
  <c r="D444" i="1"/>
  <c r="O443" i="1"/>
  <c r="L443" i="1"/>
  <c r="J443" i="1"/>
  <c r="I443" i="1"/>
  <c r="H443" i="1"/>
  <c r="G443" i="1"/>
  <c r="D443" i="1"/>
  <c r="O442" i="1"/>
  <c r="L442" i="1"/>
  <c r="J442" i="1"/>
  <c r="I442" i="1"/>
  <c r="H442" i="1"/>
  <c r="G442" i="1"/>
  <c r="D442" i="1"/>
  <c r="O441" i="1"/>
  <c r="L441" i="1"/>
  <c r="J441" i="1"/>
  <c r="I441" i="1"/>
  <c r="H441" i="1"/>
  <c r="G441" i="1"/>
  <c r="D441" i="1"/>
  <c r="O440" i="1"/>
  <c r="L440" i="1"/>
  <c r="J440" i="1"/>
  <c r="I440" i="1"/>
  <c r="H440" i="1"/>
  <c r="G440" i="1"/>
  <c r="D440" i="1"/>
  <c r="O439" i="1"/>
  <c r="L439" i="1"/>
  <c r="J439" i="1"/>
  <c r="I439" i="1"/>
  <c r="H439" i="1"/>
  <c r="G439" i="1"/>
  <c r="D439" i="1"/>
  <c r="O438" i="1"/>
  <c r="L438" i="1"/>
  <c r="J438" i="1"/>
  <c r="I438" i="1"/>
  <c r="H438" i="1"/>
  <c r="G438" i="1"/>
  <c r="D438" i="1"/>
  <c r="O437" i="1"/>
  <c r="L437" i="1"/>
  <c r="J437" i="1"/>
  <c r="I437" i="1"/>
  <c r="H437" i="1"/>
  <c r="G437" i="1"/>
  <c r="D437" i="1"/>
  <c r="O436" i="1"/>
  <c r="L436" i="1"/>
  <c r="J436" i="1"/>
  <c r="I436" i="1"/>
  <c r="H436" i="1"/>
  <c r="G436" i="1"/>
  <c r="D436" i="1"/>
  <c r="O435" i="1"/>
  <c r="L435" i="1"/>
  <c r="J435" i="1"/>
  <c r="I435" i="1"/>
  <c r="H435" i="1"/>
  <c r="G435" i="1"/>
  <c r="D435" i="1"/>
  <c r="O434" i="1"/>
  <c r="L434" i="1"/>
  <c r="J434" i="1"/>
  <c r="I434" i="1"/>
  <c r="H434" i="1"/>
  <c r="G434" i="1"/>
  <c r="D434" i="1"/>
  <c r="O433" i="1"/>
  <c r="L433" i="1"/>
  <c r="J433" i="1"/>
  <c r="I433" i="1"/>
  <c r="H433" i="1"/>
  <c r="G433" i="1"/>
  <c r="D433" i="1"/>
  <c r="O432" i="1"/>
  <c r="L432" i="1"/>
  <c r="J432" i="1"/>
  <c r="I432" i="1"/>
  <c r="H432" i="1"/>
  <c r="G432" i="1"/>
  <c r="D432" i="1"/>
  <c r="O431" i="1"/>
  <c r="L431" i="1"/>
  <c r="J431" i="1"/>
  <c r="I431" i="1"/>
  <c r="H431" i="1"/>
  <c r="G431" i="1"/>
  <c r="D431" i="1"/>
  <c r="O430" i="1"/>
  <c r="L430" i="1"/>
  <c r="J430" i="1"/>
  <c r="I430" i="1"/>
  <c r="H430" i="1"/>
  <c r="G430" i="1"/>
  <c r="D430" i="1"/>
  <c r="O429" i="1"/>
  <c r="L429" i="1"/>
  <c r="J429" i="1"/>
  <c r="I429" i="1"/>
  <c r="H429" i="1"/>
  <c r="G429" i="1"/>
  <c r="D429" i="1"/>
  <c r="O428" i="1"/>
  <c r="L428" i="1"/>
  <c r="J428" i="1"/>
  <c r="I428" i="1"/>
  <c r="H428" i="1"/>
  <c r="G428" i="1"/>
  <c r="D428" i="1"/>
  <c r="O427" i="1"/>
  <c r="L427" i="1"/>
  <c r="J427" i="1"/>
  <c r="I427" i="1"/>
  <c r="H427" i="1"/>
  <c r="G427" i="1"/>
  <c r="D427" i="1"/>
  <c r="O426" i="1"/>
  <c r="L426" i="1"/>
  <c r="J426" i="1"/>
  <c r="I426" i="1"/>
  <c r="H426" i="1"/>
  <c r="G426" i="1"/>
  <c r="D426" i="1"/>
  <c r="O425" i="1"/>
  <c r="L425" i="1"/>
  <c r="J425" i="1"/>
  <c r="I425" i="1"/>
  <c r="H425" i="1"/>
  <c r="G425" i="1"/>
  <c r="D425" i="1"/>
  <c r="O424" i="1"/>
  <c r="L424" i="1"/>
  <c r="J424" i="1"/>
  <c r="I424" i="1"/>
  <c r="H424" i="1"/>
  <c r="G424" i="1"/>
  <c r="D424" i="1"/>
  <c r="O423" i="1"/>
  <c r="L423" i="1"/>
  <c r="J423" i="1"/>
  <c r="I423" i="1"/>
  <c r="H423" i="1"/>
  <c r="G423" i="1"/>
  <c r="D423" i="1"/>
  <c r="O422" i="1"/>
  <c r="L422" i="1"/>
  <c r="J422" i="1"/>
  <c r="I422" i="1"/>
  <c r="H422" i="1"/>
  <c r="G422" i="1"/>
  <c r="D422" i="1"/>
  <c r="O421" i="1"/>
  <c r="L421" i="1"/>
  <c r="J421" i="1"/>
  <c r="I421" i="1"/>
  <c r="H421" i="1"/>
  <c r="G421" i="1"/>
  <c r="D421" i="1"/>
  <c r="O420" i="1"/>
  <c r="L420" i="1"/>
  <c r="J420" i="1"/>
  <c r="I420" i="1"/>
  <c r="H420" i="1"/>
  <c r="G420" i="1"/>
  <c r="D420" i="1"/>
  <c r="O419" i="1"/>
  <c r="L419" i="1"/>
  <c r="J419" i="1"/>
  <c r="I419" i="1"/>
  <c r="H419" i="1"/>
  <c r="G419" i="1"/>
  <c r="D419" i="1"/>
  <c r="O418" i="1"/>
  <c r="L418" i="1"/>
  <c r="J418" i="1"/>
  <c r="I418" i="1"/>
  <c r="H418" i="1"/>
  <c r="G418" i="1"/>
  <c r="D418" i="1"/>
  <c r="O417" i="1"/>
  <c r="L417" i="1"/>
  <c r="J417" i="1"/>
  <c r="I417" i="1"/>
  <c r="H417" i="1"/>
  <c r="G417" i="1"/>
  <c r="D417" i="1"/>
  <c r="O416" i="1"/>
  <c r="L416" i="1"/>
  <c r="J416" i="1"/>
  <c r="I416" i="1"/>
  <c r="H416" i="1"/>
  <c r="G416" i="1"/>
  <c r="D416" i="1"/>
  <c r="O415" i="1"/>
  <c r="L415" i="1"/>
  <c r="J415" i="1"/>
  <c r="I415" i="1"/>
  <c r="H415" i="1"/>
  <c r="G415" i="1"/>
  <c r="D415" i="1"/>
  <c r="O414" i="1"/>
  <c r="L414" i="1"/>
  <c r="J414" i="1"/>
  <c r="I414" i="1"/>
  <c r="H414" i="1"/>
  <c r="G414" i="1"/>
  <c r="D414" i="1"/>
  <c r="O413" i="1"/>
  <c r="L413" i="1"/>
  <c r="J413" i="1"/>
  <c r="I413" i="1"/>
  <c r="H413" i="1"/>
  <c r="G413" i="1"/>
  <c r="D413" i="1"/>
  <c r="O412" i="1"/>
  <c r="L412" i="1"/>
  <c r="J412" i="1"/>
  <c r="I412" i="1"/>
  <c r="H412" i="1"/>
  <c r="G412" i="1"/>
  <c r="D412" i="1"/>
  <c r="O411" i="1"/>
  <c r="L411" i="1"/>
  <c r="J411" i="1"/>
  <c r="I411" i="1"/>
  <c r="H411" i="1"/>
  <c r="G411" i="1"/>
  <c r="D411" i="1"/>
  <c r="O410" i="1"/>
  <c r="L410" i="1"/>
  <c r="J410" i="1"/>
  <c r="I410" i="1"/>
  <c r="H410" i="1"/>
  <c r="G410" i="1"/>
  <c r="D410" i="1"/>
  <c r="O409" i="1"/>
  <c r="L409" i="1"/>
  <c r="J409" i="1"/>
  <c r="I409" i="1"/>
  <c r="H409" i="1"/>
  <c r="G409" i="1"/>
  <c r="D409" i="1"/>
  <c r="O408" i="1"/>
  <c r="L408" i="1"/>
  <c r="J408" i="1"/>
  <c r="I408" i="1"/>
  <c r="H408" i="1"/>
  <c r="G408" i="1"/>
  <c r="D408" i="1"/>
  <c r="O407" i="1"/>
  <c r="L407" i="1"/>
  <c r="J407" i="1"/>
  <c r="I407" i="1"/>
  <c r="H407" i="1"/>
  <c r="G407" i="1"/>
  <c r="D407" i="1"/>
  <c r="O406" i="1"/>
  <c r="L406" i="1"/>
  <c r="J406" i="1"/>
  <c r="I406" i="1"/>
  <c r="H406" i="1"/>
  <c r="G406" i="1"/>
  <c r="D406" i="1"/>
  <c r="O405" i="1"/>
  <c r="L405" i="1"/>
  <c r="J405" i="1"/>
  <c r="I405" i="1"/>
  <c r="H405" i="1"/>
  <c r="G405" i="1"/>
  <c r="D405" i="1"/>
  <c r="O404" i="1"/>
  <c r="L404" i="1"/>
  <c r="J404" i="1"/>
  <c r="I404" i="1"/>
  <c r="H404" i="1"/>
  <c r="G404" i="1"/>
  <c r="D404" i="1"/>
  <c r="O403" i="1"/>
  <c r="L403" i="1"/>
  <c r="J403" i="1"/>
  <c r="I403" i="1"/>
  <c r="H403" i="1"/>
  <c r="G403" i="1"/>
  <c r="D403" i="1"/>
  <c r="O402" i="1"/>
  <c r="L402" i="1"/>
  <c r="J402" i="1"/>
  <c r="I402" i="1"/>
  <c r="H402" i="1"/>
  <c r="G402" i="1"/>
  <c r="D402" i="1"/>
  <c r="O401" i="1"/>
  <c r="L401" i="1"/>
  <c r="J401" i="1"/>
  <c r="I401" i="1"/>
  <c r="H401" i="1"/>
  <c r="G401" i="1"/>
  <c r="D401" i="1"/>
  <c r="O400" i="1"/>
  <c r="L400" i="1"/>
  <c r="J400" i="1"/>
  <c r="I400" i="1"/>
  <c r="H400" i="1"/>
  <c r="G400" i="1"/>
  <c r="D400" i="1"/>
  <c r="O399" i="1"/>
  <c r="L399" i="1"/>
  <c r="J399" i="1"/>
  <c r="I399" i="1"/>
  <c r="H399" i="1"/>
  <c r="G399" i="1"/>
  <c r="D399" i="1"/>
  <c r="O398" i="1"/>
  <c r="L398" i="1"/>
  <c r="J398" i="1"/>
  <c r="I398" i="1"/>
  <c r="H398" i="1"/>
  <c r="G398" i="1"/>
  <c r="D398" i="1"/>
  <c r="O397" i="1"/>
  <c r="L397" i="1"/>
  <c r="J397" i="1"/>
  <c r="I397" i="1"/>
  <c r="H397" i="1"/>
  <c r="G397" i="1"/>
  <c r="D397" i="1"/>
  <c r="O396" i="1"/>
  <c r="L396" i="1"/>
  <c r="J396" i="1"/>
  <c r="I396" i="1"/>
  <c r="H396" i="1"/>
  <c r="G396" i="1"/>
  <c r="D396" i="1"/>
  <c r="O395" i="1"/>
  <c r="L395" i="1"/>
  <c r="J395" i="1"/>
  <c r="I395" i="1"/>
  <c r="H395" i="1"/>
  <c r="G395" i="1"/>
  <c r="D395" i="1"/>
  <c r="O394" i="1"/>
  <c r="L394" i="1"/>
  <c r="J394" i="1"/>
  <c r="I394" i="1"/>
  <c r="H394" i="1"/>
  <c r="G394" i="1"/>
  <c r="D394" i="1"/>
  <c r="O393" i="1"/>
  <c r="L393" i="1"/>
  <c r="J393" i="1"/>
  <c r="I393" i="1"/>
  <c r="H393" i="1"/>
  <c r="G393" i="1"/>
  <c r="D393" i="1"/>
  <c r="O392" i="1"/>
  <c r="L392" i="1"/>
  <c r="J392" i="1"/>
  <c r="I392" i="1"/>
  <c r="H392" i="1"/>
  <c r="G392" i="1"/>
  <c r="D392" i="1"/>
  <c r="O391" i="1"/>
  <c r="L391" i="1"/>
  <c r="J391" i="1"/>
  <c r="I391" i="1"/>
  <c r="H391" i="1"/>
  <c r="G391" i="1"/>
  <c r="D391" i="1"/>
  <c r="O390" i="1"/>
  <c r="L390" i="1"/>
  <c r="J390" i="1"/>
  <c r="I390" i="1"/>
  <c r="H390" i="1"/>
  <c r="G390" i="1"/>
  <c r="D390" i="1"/>
  <c r="O389" i="1"/>
  <c r="L389" i="1"/>
  <c r="J389" i="1"/>
  <c r="I389" i="1"/>
  <c r="H389" i="1"/>
  <c r="G389" i="1"/>
  <c r="D389" i="1"/>
  <c r="O388" i="1"/>
  <c r="L388" i="1"/>
  <c r="J388" i="1"/>
  <c r="I388" i="1"/>
  <c r="H388" i="1"/>
  <c r="G388" i="1"/>
  <c r="D388" i="1"/>
  <c r="O387" i="1"/>
  <c r="L387" i="1"/>
  <c r="J387" i="1"/>
  <c r="I387" i="1"/>
  <c r="H387" i="1"/>
  <c r="G387" i="1"/>
  <c r="D387" i="1"/>
  <c r="O386" i="1"/>
  <c r="L386" i="1"/>
  <c r="J386" i="1"/>
  <c r="I386" i="1"/>
  <c r="H386" i="1"/>
  <c r="G386" i="1"/>
  <c r="D386" i="1"/>
  <c r="O385" i="1"/>
  <c r="L385" i="1"/>
  <c r="J385" i="1"/>
  <c r="I385" i="1"/>
  <c r="H385" i="1"/>
  <c r="G385" i="1"/>
  <c r="D385" i="1"/>
  <c r="O384" i="1"/>
  <c r="L384" i="1"/>
  <c r="J384" i="1"/>
  <c r="I384" i="1"/>
  <c r="H384" i="1"/>
  <c r="G384" i="1"/>
  <c r="D384" i="1"/>
  <c r="O383" i="1"/>
  <c r="L383" i="1"/>
  <c r="J383" i="1"/>
  <c r="I383" i="1"/>
  <c r="H383" i="1"/>
  <c r="G383" i="1"/>
  <c r="D383" i="1"/>
  <c r="O382" i="1"/>
  <c r="L382" i="1"/>
  <c r="J382" i="1"/>
  <c r="I382" i="1"/>
  <c r="H382" i="1"/>
  <c r="G382" i="1"/>
  <c r="D382" i="1"/>
  <c r="O381" i="1"/>
  <c r="L381" i="1"/>
  <c r="J381" i="1"/>
  <c r="I381" i="1"/>
  <c r="H381" i="1"/>
  <c r="G381" i="1"/>
  <c r="D381" i="1"/>
  <c r="O380" i="1"/>
  <c r="L380" i="1"/>
  <c r="J380" i="1"/>
  <c r="I380" i="1"/>
  <c r="H380" i="1"/>
  <c r="G380" i="1"/>
  <c r="D380" i="1"/>
  <c r="O379" i="1"/>
  <c r="L379" i="1"/>
  <c r="J379" i="1"/>
  <c r="I379" i="1"/>
  <c r="H379" i="1"/>
  <c r="G379" i="1"/>
  <c r="D379" i="1"/>
  <c r="O378" i="1"/>
  <c r="L378" i="1"/>
  <c r="J378" i="1"/>
  <c r="I378" i="1"/>
  <c r="H378" i="1"/>
  <c r="G378" i="1"/>
  <c r="D378" i="1"/>
  <c r="O377" i="1"/>
  <c r="L377" i="1"/>
  <c r="J377" i="1"/>
  <c r="I377" i="1"/>
  <c r="H377" i="1"/>
  <c r="G377" i="1"/>
  <c r="D377" i="1"/>
  <c r="O376" i="1"/>
  <c r="L376" i="1"/>
  <c r="J376" i="1"/>
  <c r="I376" i="1"/>
  <c r="H376" i="1"/>
  <c r="G376" i="1"/>
  <c r="D376" i="1"/>
  <c r="O375" i="1"/>
  <c r="L375" i="1"/>
  <c r="J375" i="1"/>
  <c r="I375" i="1"/>
  <c r="H375" i="1"/>
  <c r="G375" i="1"/>
  <c r="D375" i="1"/>
  <c r="O374" i="1"/>
  <c r="L374" i="1"/>
  <c r="J374" i="1"/>
  <c r="I374" i="1"/>
  <c r="H374" i="1"/>
  <c r="G374" i="1"/>
  <c r="D374" i="1"/>
  <c r="O373" i="1"/>
  <c r="L373" i="1"/>
  <c r="J373" i="1"/>
  <c r="I373" i="1"/>
  <c r="H373" i="1"/>
  <c r="G373" i="1"/>
  <c r="D373" i="1"/>
  <c r="O372" i="1"/>
  <c r="L372" i="1"/>
  <c r="J372" i="1"/>
  <c r="I372" i="1"/>
  <c r="H372" i="1"/>
  <c r="G372" i="1"/>
  <c r="D372" i="1"/>
  <c r="O371" i="1"/>
  <c r="L371" i="1"/>
  <c r="J371" i="1"/>
  <c r="I371" i="1"/>
  <c r="H371" i="1"/>
  <c r="G371" i="1"/>
  <c r="D371" i="1"/>
  <c r="O370" i="1"/>
  <c r="L370" i="1"/>
  <c r="J370" i="1"/>
  <c r="I370" i="1"/>
  <c r="H370" i="1"/>
  <c r="G370" i="1"/>
  <c r="D370" i="1"/>
  <c r="O369" i="1"/>
  <c r="L369" i="1"/>
  <c r="J369" i="1"/>
  <c r="I369" i="1"/>
  <c r="H369" i="1"/>
  <c r="G369" i="1"/>
  <c r="D369" i="1"/>
  <c r="O368" i="1"/>
  <c r="L368" i="1"/>
  <c r="J368" i="1"/>
  <c r="I368" i="1"/>
  <c r="H368" i="1"/>
  <c r="G368" i="1"/>
  <c r="D368" i="1"/>
  <c r="O367" i="1"/>
  <c r="L367" i="1"/>
  <c r="J367" i="1"/>
  <c r="I367" i="1"/>
  <c r="H367" i="1"/>
  <c r="G367" i="1"/>
  <c r="D367" i="1"/>
  <c r="O366" i="1"/>
  <c r="L366" i="1"/>
  <c r="J366" i="1"/>
  <c r="I366" i="1"/>
  <c r="H366" i="1"/>
  <c r="G366" i="1"/>
  <c r="D366" i="1"/>
  <c r="O365" i="1"/>
  <c r="L365" i="1"/>
  <c r="J365" i="1"/>
  <c r="I365" i="1"/>
  <c r="H365" i="1"/>
  <c r="G365" i="1"/>
  <c r="D365" i="1"/>
  <c r="O364" i="1"/>
  <c r="L364" i="1"/>
  <c r="J364" i="1"/>
  <c r="I364" i="1"/>
  <c r="H364" i="1"/>
  <c r="G364" i="1"/>
  <c r="D364" i="1"/>
  <c r="O363" i="1"/>
  <c r="L363" i="1"/>
  <c r="J363" i="1"/>
  <c r="I363" i="1"/>
  <c r="H363" i="1"/>
  <c r="G363" i="1"/>
  <c r="D363" i="1"/>
  <c r="O362" i="1"/>
  <c r="L362" i="1"/>
  <c r="J362" i="1"/>
  <c r="I362" i="1"/>
  <c r="H362" i="1"/>
  <c r="G362" i="1"/>
  <c r="D362" i="1"/>
  <c r="O361" i="1"/>
  <c r="L361" i="1"/>
  <c r="J361" i="1"/>
  <c r="I361" i="1"/>
  <c r="H361" i="1"/>
  <c r="G361" i="1"/>
  <c r="D361" i="1"/>
  <c r="O360" i="1"/>
  <c r="L360" i="1"/>
  <c r="J360" i="1"/>
  <c r="I360" i="1"/>
  <c r="H360" i="1"/>
  <c r="G360" i="1"/>
  <c r="D360" i="1"/>
  <c r="O359" i="1"/>
  <c r="L359" i="1"/>
  <c r="J359" i="1"/>
  <c r="I359" i="1"/>
  <c r="H359" i="1"/>
  <c r="G359" i="1"/>
  <c r="D359" i="1"/>
  <c r="O358" i="1"/>
  <c r="L358" i="1"/>
  <c r="J358" i="1"/>
  <c r="I358" i="1"/>
  <c r="H358" i="1"/>
  <c r="G358" i="1"/>
  <c r="D358" i="1"/>
  <c r="O357" i="1"/>
  <c r="L357" i="1"/>
  <c r="J357" i="1"/>
  <c r="I357" i="1"/>
  <c r="H357" i="1"/>
  <c r="G357" i="1"/>
  <c r="D357" i="1"/>
  <c r="O356" i="1"/>
  <c r="L356" i="1"/>
  <c r="J356" i="1"/>
  <c r="I356" i="1"/>
  <c r="H356" i="1"/>
  <c r="G356" i="1"/>
  <c r="D356" i="1"/>
  <c r="O355" i="1"/>
  <c r="L355" i="1"/>
  <c r="J355" i="1"/>
  <c r="I355" i="1"/>
  <c r="H355" i="1"/>
  <c r="G355" i="1"/>
  <c r="D355" i="1"/>
  <c r="O354" i="1"/>
  <c r="L354" i="1"/>
  <c r="J354" i="1"/>
  <c r="I354" i="1"/>
  <c r="H354" i="1"/>
  <c r="G354" i="1"/>
  <c r="D354" i="1"/>
  <c r="O353" i="1"/>
  <c r="L353" i="1"/>
  <c r="J353" i="1"/>
  <c r="I353" i="1"/>
  <c r="H353" i="1"/>
  <c r="G353" i="1"/>
  <c r="D353" i="1"/>
  <c r="O352" i="1"/>
  <c r="L352" i="1"/>
  <c r="J352" i="1"/>
  <c r="I352" i="1"/>
  <c r="H352" i="1"/>
  <c r="G352" i="1"/>
  <c r="D352" i="1"/>
  <c r="O351" i="1"/>
  <c r="L351" i="1"/>
  <c r="J351" i="1"/>
  <c r="I351" i="1"/>
  <c r="H351" i="1"/>
  <c r="G351" i="1"/>
  <c r="D351" i="1"/>
  <c r="O350" i="1"/>
  <c r="L350" i="1"/>
  <c r="J350" i="1"/>
  <c r="I350" i="1"/>
  <c r="H350" i="1"/>
  <c r="G350" i="1"/>
  <c r="D350" i="1"/>
  <c r="O349" i="1"/>
  <c r="L349" i="1"/>
  <c r="J349" i="1"/>
  <c r="I349" i="1"/>
  <c r="H349" i="1"/>
  <c r="G349" i="1"/>
  <c r="D349" i="1"/>
  <c r="O348" i="1"/>
  <c r="L348" i="1"/>
  <c r="J348" i="1"/>
  <c r="I348" i="1"/>
  <c r="H348" i="1"/>
  <c r="G348" i="1"/>
  <c r="D348" i="1"/>
  <c r="O347" i="1"/>
  <c r="L347" i="1"/>
  <c r="J347" i="1"/>
  <c r="I347" i="1"/>
  <c r="H347" i="1"/>
  <c r="G347" i="1"/>
  <c r="D347" i="1"/>
  <c r="O346" i="1"/>
  <c r="L346" i="1"/>
  <c r="J346" i="1"/>
  <c r="I346" i="1"/>
  <c r="H346" i="1"/>
  <c r="G346" i="1"/>
  <c r="D346" i="1"/>
  <c r="O345" i="1"/>
  <c r="L345" i="1"/>
  <c r="J345" i="1"/>
  <c r="I345" i="1"/>
  <c r="H345" i="1"/>
  <c r="G345" i="1"/>
  <c r="D345" i="1"/>
  <c r="O344" i="1"/>
  <c r="L344" i="1"/>
  <c r="J344" i="1"/>
  <c r="I344" i="1"/>
  <c r="H344" i="1"/>
  <c r="G344" i="1"/>
  <c r="D344" i="1"/>
  <c r="O343" i="1"/>
  <c r="L343" i="1"/>
  <c r="J343" i="1"/>
  <c r="I343" i="1"/>
  <c r="H343" i="1"/>
  <c r="G343" i="1"/>
  <c r="D343" i="1"/>
  <c r="O342" i="1"/>
  <c r="L342" i="1"/>
  <c r="J342" i="1"/>
  <c r="I342" i="1"/>
  <c r="H342" i="1"/>
  <c r="G342" i="1"/>
  <c r="D342" i="1"/>
  <c r="O341" i="1"/>
  <c r="L341" i="1"/>
  <c r="J341" i="1"/>
  <c r="I341" i="1"/>
  <c r="H341" i="1"/>
  <c r="G341" i="1"/>
  <c r="D341" i="1"/>
  <c r="O340" i="1"/>
  <c r="L340" i="1"/>
  <c r="J340" i="1"/>
  <c r="I340" i="1"/>
  <c r="H340" i="1"/>
  <c r="G340" i="1"/>
  <c r="D340" i="1"/>
  <c r="O339" i="1"/>
  <c r="L339" i="1"/>
  <c r="J339" i="1"/>
  <c r="I339" i="1"/>
  <c r="H339" i="1"/>
  <c r="G339" i="1"/>
  <c r="D339" i="1"/>
  <c r="O338" i="1"/>
  <c r="L338" i="1"/>
  <c r="J338" i="1"/>
  <c r="I338" i="1"/>
  <c r="H338" i="1"/>
  <c r="G338" i="1"/>
  <c r="D338" i="1"/>
  <c r="O337" i="1"/>
  <c r="L337" i="1"/>
  <c r="J337" i="1"/>
  <c r="I337" i="1"/>
  <c r="H337" i="1"/>
  <c r="G337" i="1"/>
  <c r="D337" i="1"/>
  <c r="O336" i="1"/>
  <c r="L336" i="1"/>
  <c r="J336" i="1"/>
  <c r="I336" i="1"/>
  <c r="H336" i="1"/>
  <c r="G336" i="1"/>
  <c r="D336" i="1"/>
  <c r="O335" i="1"/>
  <c r="L335" i="1"/>
  <c r="J335" i="1"/>
  <c r="I335" i="1"/>
  <c r="H335" i="1"/>
  <c r="G335" i="1"/>
  <c r="D335" i="1"/>
  <c r="O334" i="1"/>
  <c r="L334" i="1"/>
  <c r="J334" i="1"/>
  <c r="I334" i="1"/>
  <c r="H334" i="1"/>
  <c r="G334" i="1"/>
  <c r="D334" i="1"/>
  <c r="O333" i="1"/>
  <c r="L333" i="1"/>
  <c r="J333" i="1"/>
  <c r="I333" i="1"/>
  <c r="H333" i="1"/>
  <c r="G333" i="1"/>
  <c r="D333" i="1"/>
  <c r="O332" i="1"/>
  <c r="L332" i="1"/>
  <c r="J332" i="1"/>
  <c r="I332" i="1"/>
  <c r="H332" i="1"/>
  <c r="G332" i="1"/>
  <c r="D332" i="1"/>
  <c r="O331" i="1"/>
  <c r="L331" i="1"/>
  <c r="J331" i="1"/>
  <c r="I331" i="1"/>
  <c r="H331" i="1"/>
  <c r="G331" i="1"/>
  <c r="D331" i="1"/>
  <c r="O330" i="1"/>
  <c r="L330" i="1"/>
  <c r="J330" i="1"/>
  <c r="I330" i="1"/>
  <c r="H330" i="1"/>
  <c r="G330" i="1"/>
  <c r="D330" i="1"/>
  <c r="O329" i="1"/>
  <c r="L329" i="1"/>
  <c r="J329" i="1"/>
  <c r="I329" i="1"/>
  <c r="H329" i="1"/>
  <c r="G329" i="1"/>
  <c r="D329" i="1"/>
  <c r="O328" i="1"/>
  <c r="L328" i="1"/>
  <c r="J328" i="1"/>
  <c r="I328" i="1"/>
  <c r="H328" i="1"/>
  <c r="G328" i="1"/>
  <c r="D328" i="1"/>
  <c r="O327" i="1"/>
  <c r="L327" i="1"/>
  <c r="J327" i="1"/>
  <c r="I327" i="1"/>
  <c r="H327" i="1"/>
  <c r="G327" i="1"/>
  <c r="D327" i="1"/>
  <c r="O326" i="1"/>
  <c r="L326" i="1"/>
  <c r="J326" i="1"/>
  <c r="I326" i="1"/>
  <c r="H326" i="1"/>
  <c r="G326" i="1"/>
  <c r="D326" i="1"/>
  <c r="O325" i="1"/>
  <c r="L325" i="1"/>
  <c r="J325" i="1"/>
  <c r="I325" i="1"/>
  <c r="H325" i="1"/>
  <c r="G325" i="1"/>
  <c r="D325" i="1"/>
  <c r="O324" i="1"/>
  <c r="L324" i="1"/>
  <c r="J324" i="1"/>
  <c r="I324" i="1"/>
  <c r="H324" i="1"/>
  <c r="G324" i="1"/>
  <c r="D324" i="1"/>
  <c r="O323" i="1"/>
  <c r="L323" i="1"/>
  <c r="J323" i="1"/>
  <c r="I323" i="1"/>
  <c r="H323" i="1"/>
  <c r="G323" i="1"/>
  <c r="D323" i="1"/>
  <c r="O322" i="1"/>
  <c r="L322" i="1"/>
  <c r="J322" i="1"/>
  <c r="I322" i="1"/>
  <c r="H322" i="1"/>
  <c r="G322" i="1"/>
  <c r="D322" i="1"/>
  <c r="O321" i="1"/>
  <c r="L321" i="1"/>
  <c r="J321" i="1"/>
  <c r="I321" i="1"/>
  <c r="H321" i="1"/>
  <c r="G321" i="1"/>
  <c r="D321" i="1"/>
  <c r="O320" i="1"/>
  <c r="L320" i="1"/>
  <c r="J320" i="1"/>
  <c r="I320" i="1"/>
  <c r="H320" i="1"/>
  <c r="G320" i="1"/>
  <c r="D320" i="1"/>
  <c r="O319" i="1"/>
  <c r="L319" i="1"/>
  <c r="J319" i="1"/>
  <c r="I319" i="1"/>
  <c r="H319" i="1"/>
  <c r="G319" i="1"/>
  <c r="D319" i="1"/>
  <c r="O318" i="1"/>
  <c r="L318" i="1"/>
  <c r="J318" i="1"/>
  <c r="I318" i="1"/>
  <c r="H318" i="1"/>
  <c r="G318" i="1"/>
  <c r="D318" i="1"/>
  <c r="O317" i="1"/>
  <c r="L317" i="1"/>
  <c r="J317" i="1"/>
  <c r="I317" i="1"/>
  <c r="H317" i="1"/>
  <c r="G317" i="1"/>
  <c r="D317" i="1"/>
  <c r="O316" i="1"/>
  <c r="L316" i="1"/>
  <c r="J316" i="1"/>
  <c r="I316" i="1"/>
  <c r="H316" i="1"/>
  <c r="G316" i="1"/>
  <c r="D316" i="1"/>
  <c r="O315" i="1"/>
  <c r="L315" i="1"/>
  <c r="J315" i="1"/>
  <c r="I315" i="1"/>
  <c r="H315" i="1"/>
  <c r="G315" i="1"/>
  <c r="D315" i="1"/>
  <c r="O314" i="1"/>
  <c r="L314" i="1"/>
  <c r="J314" i="1"/>
  <c r="I314" i="1"/>
  <c r="H314" i="1"/>
  <c r="G314" i="1"/>
  <c r="D314" i="1"/>
  <c r="O313" i="1"/>
  <c r="L313" i="1"/>
  <c r="J313" i="1"/>
  <c r="I313" i="1"/>
  <c r="H313" i="1"/>
  <c r="G313" i="1"/>
  <c r="D313" i="1"/>
  <c r="O312" i="1"/>
  <c r="L312" i="1"/>
  <c r="J312" i="1"/>
  <c r="I312" i="1"/>
  <c r="H312" i="1"/>
  <c r="G312" i="1"/>
  <c r="D312" i="1"/>
  <c r="O311" i="1"/>
  <c r="L311" i="1"/>
  <c r="J311" i="1"/>
  <c r="I311" i="1"/>
  <c r="H311" i="1"/>
  <c r="G311" i="1"/>
  <c r="D311" i="1"/>
  <c r="O310" i="1"/>
  <c r="L310" i="1"/>
  <c r="J310" i="1"/>
  <c r="I310" i="1"/>
  <c r="H310" i="1"/>
  <c r="G310" i="1"/>
  <c r="D310" i="1"/>
  <c r="O309" i="1"/>
  <c r="L309" i="1"/>
  <c r="J309" i="1"/>
  <c r="I309" i="1"/>
  <c r="H309" i="1"/>
  <c r="G309" i="1"/>
  <c r="D309" i="1"/>
  <c r="O308" i="1"/>
  <c r="L308" i="1"/>
  <c r="J308" i="1"/>
  <c r="I308" i="1"/>
  <c r="H308" i="1"/>
  <c r="G308" i="1"/>
  <c r="D308" i="1"/>
  <c r="O307" i="1"/>
  <c r="L307" i="1"/>
  <c r="J307" i="1"/>
  <c r="I307" i="1"/>
  <c r="H307" i="1"/>
  <c r="G307" i="1"/>
  <c r="D307" i="1"/>
  <c r="O306" i="1"/>
  <c r="L306" i="1"/>
  <c r="J306" i="1"/>
  <c r="I306" i="1"/>
  <c r="H306" i="1"/>
  <c r="G306" i="1"/>
  <c r="D306" i="1"/>
  <c r="O305" i="1"/>
  <c r="L305" i="1"/>
  <c r="J305" i="1"/>
  <c r="I305" i="1"/>
  <c r="H305" i="1"/>
  <c r="G305" i="1"/>
  <c r="D305" i="1"/>
  <c r="O304" i="1"/>
  <c r="L304" i="1"/>
  <c r="J304" i="1"/>
  <c r="I304" i="1"/>
  <c r="H304" i="1"/>
  <c r="G304" i="1"/>
  <c r="D304" i="1"/>
  <c r="O303" i="1"/>
  <c r="L303" i="1"/>
  <c r="J303" i="1"/>
  <c r="I303" i="1"/>
  <c r="H303" i="1"/>
  <c r="G303" i="1"/>
  <c r="D303" i="1"/>
  <c r="O302" i="1"/>
  <c r="L302" i="1"/>
  <c r="J302" i="1"/>
  <c r="I302" i="1"/>
  <c r="H302" i="1"/>
  <c r="G302" i="1"/>
  <c r="D302" i="1"/>
  <c r="O301" i="1"/>
  <c r="L301" i="1"/>
  <c r="J301" i="1"/>
  <c r="I301" i="1"/>
  <c r="H301" i="1"/>
  <c r="G301" i="1"/>
  <c r="D301" i="1"/>
  <c r="O300" i="1"/>
  <c r="L300" i="1"/>
  <c r="J300" i="1"/>
  <c r="I300" i="1"/>
  <c r="H300" i="1"/>
  <c r="G300" i="1"/>
  <c r="D300" i="1"/>
  <c r="O299" i="1"/>
  <c r="L299" i="1"/>
  <c r="J299" i="1"/>
  <c r="I299" i="1"/>
  <c r="H299" i="1"/>
  <c r="G299" i="1"/>
  <c r="D299" i="1"/>
  <c r="O298" i="1"/>
  <c r="L298" i="1"/>
  <c r="J298" i="1"/>
  <c r="I298" i="1"/>
  <c r="H298" i="1"/>
  <c r="G298" i="1"/>
  <c r="D298" i="1"/>
  <c r="O297" i="1"/>
  <c r="L297" i="1"/>
  <c r="J297" i="1"/>
  <c r="I297" i="1"/>
  <c r="H297" i="1"/>
  <c r="G297" i="1"/>
  <c r="D297" i="1"/>
  <c r="O296" i="1"/>
  <c r="L296" i="1"/>
  <c r="J296" i="1"/>
  <c r="I296" i="1"/>
  <c r="H296" i="1"/>
  <c r="G296" i="1"/>
  <c r="D296" i="1"/>
  <c r="O295" i="1"/>
  <c r="L295" i="1"/>
  <c r="J295" i="1"/>
  <c r="I295" i="1"/>
  <c r="H295" i="1"/>
  <c r="G295" i="1"/>
  <c r="D295" i="1"/>
  <c r="O294" i="1"/>
  <c r="L294" i="1"/>
  <c r="J294" i="1"/>
  <c r="I294" i="1"/>
  <c r="H294" i="1"/>
  <c r="G294" i="1"/>
  <c r="D294" i="1"/>
  <c r="O293" i="1"/>
  <c r="L293" i="1"/>
  <c r="J293" i="1"/>
  <c r="I293" i="1"/>
  <c r="H293" i="1"/>
  <c r="G293" i="1"/>
  <c r="D293" i="1"/>
  <c r="O292" i="1"/>
  <c r="L292" i="1"/>
  <c r="J292" i="1"/>
  <c r="I292" i="1"/>
  <c r="H292" i="1"/>
  <c r="G292" i="1"/>
  <c r="D292" i="1"/>
  <c r="O291" i="1"/>
  <c r="L291" i="1"/>
  <c r="J291" i="1"/>
  <c r="I291" i="1"/>
  <c r="H291" i="1"/>
  <c r="G291" i="1"/>
  <c r="D291" i="1"/>
  <c r="O290" i="1"/>
  <c r="L290" i="1"/>
  <c r="J290" i="1"/>
  <c r="I290" i="1"/>
  <c r="H290" i="1"/>
  <c r="G290" i="1"/>
  <c r="D290" i="1"/>
  <c r="O289" i="1"/>
  <c r="L289" i="1"/>
  <c r="J289" i="1"/>
  <c r="I289" i="1"/>
  <c r="H289" i="1"/>
  <c r="G289" i="1"/>
  <c r="D289" i="1"/>
  <c r="O288" i="1"/>
  <c r="L288" i="1"/>
  <c r="J288" i="1"/>
  <c r="I288" i="1"/>
  <c r="H288" i="1"/>
  <c r="G288" i="1"/>
  <c r="D288" i="1"/>
  <c r="O287" i="1"/>
  <c r="L287" i="1"/>
  <c r="J287" i="1"/>
  <c r="I287" i="1"/>
  <c r="H287" i="1"/>
  <c r="G287" i="1"/>
  <c r="D287" i="1"/>
  <c r="O286" i="1"/>
  <c r="L286" i="1"/>
  <c r="J286" i="1"/>
  <c r="I286" i="1"/>
  <c r="H286" i="1"/>
  <c r="G286" i="1"/>
  <c r="D286" i="1"/>
  <c r="O285" i="1"/>
  <c r="L285" i="1"/>
  <c r="J285" i="1"/>
  <c r="I285" i="1"/>
  <c r="H285" i="1"/>
  <c r="G285" i="1"/>
  <c r="D285" i="1"/>
  <c r="O284" i="1"/>
  <c r="L284" i="1"/>
  <c r="J284" i="1"/>
  <c r="I284" i="1"/>
  <c r="H284" i="1"/>
  <c r="G284" i="1"/>
  <c r="D284" i="1"/>
  <c r="O283" i="1"/>
  <c r="L283" i="1"/>
  <c r="J283" i="1"/>
  <c r="I283" i="1"/>
  <c r="H283" i="1"/>
  <c r="G283" i="1"/>
  <c r="D283" i="1"/>
  <c r="O282" i="1"/>
  <c r="L282" i="1"/>
  <c r="J282" i="1"/>
  <c r="I282" i="1"/>
  <c r="H282" i="1"/>
  <c r="G282" i="1"/>
  <c r="D282" i="1"/>
  <c r="O281" i="1"/>
  <c r="L281" i="1"/>
  <c r="J281" i="1"/>
  <c r="I281" i="1"/>
  <c r="H281" i="1"/>
  <c r="G281" i="1"/>
  <c r="D281" i="1"/>
  <c r="O280" i="1"/>
  <c r="L280" i="1"/>
  <c r="J280" i="1"/>
  <c r="I280" i="1"/>
  <c r="H280" i="1"/>
  <c r="G280" i="1"/>
  <c r="D280" i="1"/>
  <c r="O279" i="1"/>
  <c r="L279" i="1"/>
  <c r="J279" i="1"/>
  <c r="I279" i="1"/>
  <c r="H279" i="1"/>
  <c r="G279" i="1"/>
  <c r="D279" i="1"/>
  <c r="O278" i="1"/>
  <c r="L278" i="1"/>
  <c r="J278" i="1"/>
  <c r="I278" i="1"/>
  <c r="H278" i="1"/>
  <c r="G278" i="1"/>
  <c r="D278" i="1"/>
  <c r="O277" i="1"/>
  <c r="L277" i="1"/>
  <c r="J277" i="1"/>
  <c r="I277" i="1"/>
  <c r="H277" i="1"/>
  <c r="G277" i="1"/>
  <c r="D277" i="1"/>
  <c r="O276" i="1"/>
  <c r="L276" i="1"/>
  <c r="J276" i="1"/>
  <c r="I276" i="1"/>
  <c r="H276" i="1"/>
  <c r="G276" i="1"/>
  <c r="D276" i="1"/>
  <c r="O275" i="1"/>
  <c r="L275" i="1"/>
  <c r="J275" i="1"/>
  <c r="I275" i="1"/>
  <c r="H275" i="1"/>
  <c r="G275" i="1"/>
  <c r="D275" i="1"/>
  <c r="O274" i="1"/>
  <c r="L274" i="1"/>
  <c r="J274" i="1"/>
  <c r="I274" i="1"/>
  <c r="H274" i="1"/>
  <c r="G274" i="1"/>
  <c r="D274" i="1"/>
  <c r="O273" i="1"/>
  <c r="L273" i="1"/>
  <c r="J273" i="1"/>
  <c r="I273" i="1"/>
  <c r="H273" i="1"/>
  <c r="G273" i="1"/>
  <c r="D273" i="1"/>
  <c r="O272" i="1"/>
  <c r="L272" i="1"/>
  <c r="J272" i="1"/>
  <c r="I272" i="1"/>
  <c r="H272" i="1"/>
  <c r="G272" i="1"/>
  <c r="D272" i="1"/>
  <c r="O271" i="1"/>
  <c r="L271" i="1"/>
  <c r="J271" i="1"/>
  <c r="I271" i="1"/>
  <c r="H271" i="1"/>
  <c r="G271" i="1"/>
  <c r="D271" i="1"/>
  <c r="O270" i="1"/>
  <c r="L270" i="1"/>
  <c r="J270" i="1"/>
  <c r="I270" i="1"/>
  <c r="H270" i="1"/>
  <c r="G270" i="1"/>
  <c r="D270" i="1"/>
  <c r="O269" i="1"/>
  <c r="L269" i="1"/>
  <c r="J269" i="1"/>
  <c r="I269" i="1"/>
  <c r="H269" i="1"/>
  <c r="G269" i="1"/>
  <c r="D269" i="1"/>
  <c r="O268" i="1"/>
  <c r="L268" i="1"/>
  <c r="J268" i="1"/>
  <c r="I268" i="1"/>
  <c r="H268" i="1"/>
  <c r="G268" i="1"/>
  <c r="D268" i="1"/>
  <c r="O267" i="1"/>
  <c r="L267" i="1"/>
  <c r="J267" i="1"/>
  <c r="I267" i="1"/>
  <c r="H267" i="1"/>
  <c r="G267" i="1"/>
  <c r="D267" i="1"/>
  <c r="O266" i="1"/>
  <c r="L266" i="1"/>
  <c r="J266" i="1"/>
  <c r="I266" i="1"/>
  <c r="H266" i="1"/>
  <c r="G266" i="1"/>
  <c r="D266" i="1"/>
  <c r="O265" i="1"/>
  <c r="L265" i="1"/>
  <c r="J265" i="1"/>
  <c r="I265" i="1"/>
  <c r="H265" i="1"/>
  <c r="G265" i="1"/>
  <c r="D265" i="1"/>
  <c r="O264" i="1"/>
  <c r="L264" i="1"/>
  <c r="J264" i="1"/>
  <c r="I264" i="1"/>
  <c r="H264" i="1"/>
  <c r="G264" i="1"/>
  <c r="D264" i="1"/>
  <c r="O263" i="1"/>
  <c r="L263" i="1"/>
  <c r="J263" i="1"/>
  <c r="I263" i="1"/>
  <c r="H263" i="1"/>
  <c r="G263" i="1"/>
  <c r="D263" i="1"/>
  <c r="O262" i="1"/>
  <c r="L262" i="1"/>
  <c r="J262" i="1"/>
  <c r="I262" i="1"/>
  <c r="H262" i="1"/>
  <c r="G262" i="1"/>
  <c r="D262" i="1"/>
  <c r="O261" i="1"/>
  <c r="L261" i="1"/>
  <c r="J261" i="1"/>
  <c r="I261" i="1"/>
  <c r="H261" i="1"/>
  <c r="G261" i="1"/>
  <c r="D261" i="1"/>
  <c r="O260" i="1"/>
  <c r="L260" i="1"/>
  <c r="J260" i="1"/>
  <c r="I260" i="1"/>
  <c r="H260" i="1"/>
  <c r="G260" i="1"/>
  <c r="D260" i="1"/>
  <c r="O259" i="1"/>
  <c r="L259" i="1"/>
  <c r="J259" i="1"/>
  <c r="I259" i="1"/>
  <c r="H259" i="1"/>
  <c r="G259" i="1"/>
  <c r="D259" i="1"/>
  <c r="O258" i="1"/>
  <c r="L258" i="1"/>
  <c r="J258" i="1"/>
  <c r="I258" i="1"/>
  <c r="H258" i="1"/>
  <c r="G258" i="1"/>
  <c r="D258" i="1"/>
  <c r="O257" i="1"/>
  <c r="L257" i="1"/>
  <c r="J257" i="1"/>
  <c r="I257" i="1"/>
  <c r="H257" i="1"/>
  <c r="G257" i="1"/>
  <c r="D257" i="1"/>
  <c r="O256" i="1"/>
  <c r="L256" i="1"/>
  <c r="J256" i="1"/>
  <c r="I256" i="1"/>
  <c r="H256" i="1"/>
  <c r="G256" i="1"/>
  <c r="D256" i="1"/>
  <c r="O255" i="1"/>
  <c r="L255" i="1"/>
  <c r="J255" i="1"/>
  <c r="I255" i="1"/>
  <c r="H255" i="1"/>
  <c r="G255" i="1"/>
  <c r="D255" i="1"/>
  <c r="O254" i="1"/>
  <c r="L254" i="1"/>
  <c r="J254" i="1"/>
  <c r="I254" i="1"/>
  <c r="H254" i="1"/>
  <c r="G254" i="1"/>
  <c r="D254" i="1"/>
  <c r="O253" i="1"/>
  <c r="L253" i="1"/>
  <c r="J253" i="1"/>
  <c r="I253" i="1"/>
  <c r="H253" i="1"/>
  <c r="G253" i="1"/>
  <c r="D253" i="1"/>
  <c r="O252" i="1"/>
  <c r="L252" i="1"/>
  <c r="J252" i="1"/>
  <c r="I252" i="1"/>
  <c r="H252" i="1"/>
  <c r="G252" i="1"/>
  <c r="D252" i="1"/>
  <c r="O251" i="1"/>
  <c r="L251" i="1"/>
  <c r="J251" i="1"/>
  <c r="I251" i="1"/>
  <c r="H251" i="1"/>
  <c r="G251" i="1"/>
  <c r="D251" i="1"/>
  <c r="O250" i="1"/>
  <c r="L250" i="1"/>
  <c r="J250" i="1"/>
  <c r="I250" i="1"/>
  <c r="H250" i="1"/>
  <c r="G250" i="1"/>
  <c r="D250" i="1"/>
  <c r="O249" i="1"/>
  <c r="L249" i="1"/>
  <c r="J249" i="1"/>
  <c r="I249" i="1"/>
  <c r="H249" i="1"/>
  <c r="G249" i="1"/>
  <c r="D249" i="1"/>
  <c r="O248" i="1"/>
  <c r="L248" i="1"/>
  <c r="J248" i="1"/>
  <c r="I248" i="1"/>
  <c r="H248" i="1"/>
  <c r="G248" i="1"/>
  <c r="D248" i="1"/>
  <c r="O247" i="1"/>
  <c r="L247" i="1"/>
  <c r="J247" i="1"/>
  <c r="I247" i="1"/>
  <c r="H247" i="1"/>
  <c r="G247" i="1"/>
  <c r="D247" i="1"/>
  <c r="O246" i="1"/>
  <c r="L246" i="1"/>
  <c r="J246" i="1"/>
  <c r="I246" i="1"/>
  <c r="H246" i="1"/>
  <c r="G246" i="1"/>
  <c r="D246" i="1"/>
  <c r="O245" i="1"/>
  <c r="L245" i="1"/>
  <c r="J245" i="1"/>
  <c r="I245" i="1"/>
  <c r="H245" i="1"/>
  <c r="G245" i="1"/>
  <c r="D245" i="1"/>
  <c r="O244" i="1"/>
  <c r="L244" i="1"/>
  <c r="J244" i="1"/>
  <c r="I244" i="1"/>
  <c r="H244" i="1"/>
  <c r="G244" i="1"/>
  <c r="D244" i="1"/>
  <c r="O243" i="1"/>
  <c r="L243" i="1"/>
  <c r="J243" i="1"/>
  <c r="I243" i="1"/>
  <c r="H243" i="1"/>
  <c r="G243" i="1"/>
  <c r="D243" i="1"/>
  <c r="O242" i="1"/>
  <c r="L242" i="1"/>
  <c r="J242" i="1"/>
  <c r="I242" i="1"/>
  <c r="H242" i="1"/>
  <c r="G242" i="1"/>
  <c r="D242" i="1"/>
  <c r="O241" i="1"/>
  <c r="L241" i="1"/>
  <c r="J241" i="1"/>
  <c r="I241" i="1"/>
  <c r="H241" i="1"/>
  <c r="G241" i="1"/>
  <c r="D241" i="1"/>
  <c r="O240" i="1"/>
  <c r="L240" i="1"/>
  <c r="J240" i="1"/>
  <c r="I240" i="1"/>
  <c r="H240" i="1"/>
  <c r="G240" i="1"/>
  <c r="D240" i="1"/>
  <c r="O239" i="1"/>
  <c r="L239" i="1"/>
  <c r="J239" i="1"/>
  <c r="I239" i="1"/>
  <c r="H239" i="1"/>
  <c r="G239" i="1"/>
  <c r="D239" i="1"/>
  <c r="O238" i="1"/>
  <c r="L238" i="1"/>
  <c r="J238" i="1"/>
  <c r="I238" i="1"/>
  <c r="H238" i="1"/>
  <c r="G238" i="1"/>
  <c r="D238" i="1"/>
  <c r="O237" i="1"/>
  <c r="L237" i="1"/>
  <c r="J237" i="1"/>
  <c r="I237" i="1"/>
  <c r="H237" i="1"/>
  <c r="G237" i="1"/>
  <c r="D237" i="1"/>
  <c r="O236" i="1"/>
  <c r="L236" i="1"/>
  <c r="J236" i="1"/>
  <c r="I236" i="1"/>
  <c r="H236" i="1"/>
  <c r="G236" i="1"/>
  <c r="D236" i="1"/>
  <c r="O235" i="1"/>
  <c r="L235" i="1"/>
  <c r="J235" i="1"/>
  <c r="I235" i="1"/>
  <c r="H235" i="1"/>
  <c r="G235" i="1"/>
  <c r="D235" i="1"/>
  <c r="O234" i="1"/>
  <c r="L234" i="1"/>
  <c r="J234" i="1"/>
  <c r="I234" i="1"/>
  <c r="H234" i="1"/>
  <c r="G234" i="1"/>
  <c r="D234" i="1"/>
  <c r="O233" i="1"/>
  <c r="L233" i="1"/>
  <c r="J233" i="1"/>
  <c r="I233" i="1"/>
  <c r="H233" i="1"/>
  <c r="G233" i="1"/>
  <c r="D233" i="1"/>
  <c r="O232" i="1"/>
  <c r="L232" i="1"/>
  <c r="J232" i="1"/>
  <c r="I232" i="1"/>
  <c r="H232" i="1"/>
  <c r="G232" i="1"/>
  <c r="D232" i="1"/>
  <c r="O231" i="1"/>
  <c r="L231" i="1"/>
  <c r="J231" i="1"/>
  <c r="I231" i="1"/>
  <c r="H231" i="1"/>
  <c r="G231" i="1"/>
  <c r="D231" i="1"/>
  <c r="O230" i="1"/>
  <c r="L230" i="1"/>
  <c r="J230" i="1"/>
  <c r="I230" i="1"/>
  <c r="H230" i="1"/>
  <c r="G230" i="1"/>
  <c r="D230" i="1"/>
  <c r="O229" i="1"/>
  <c r="L229" i="1"/>
  <c r="J229" i="1"/>
  <c r="I229" i="1"/>
  <c r="H229" i="1"/>
  <c r="G229" i="1"/>
  <c r="D229" i="1"/>
  <c r="O228" i="1"/>
  <c r="L228" i="1"/>
  <c r="J228" i="1"/>
  <c r="I228" i="1"/>
  <c r="H228" i="1"/>
  <c r="G228" i="1"/>
  <c r="D228" i="1"/>
  <c r="O227" i="1"/>
  <c r="L227" i="1"/>
  <c r="J227" i="1"/>
  <c r="I227" i="1"/>
  <c r="H227" i="1"/>
  <c r="G227" i="1"/>
  <c r="D227" i="1"/>
  <c r="O226" i="1"/>
  <c r="L226" i="1"/>
  <c r="J226" i="1"/>
  <c r="I226" i="1"/>
  <c r="H226" i="1"/>
  <c r="G226" i="1"/>
  <c r="D226" i="1"/>
  <c r="O225" i="1"/>
  <c r="L225" i="1"/>
  <c r="J225" i="1"/>
  <c r="I225" i="1"/>
  <c r="H225" i="1"/>
  <c r="G225" i="1"/>
  <c r="D225" i="1"/>
  <c r="O224" i="1"/>
  <c r="L224" i="1"/>
  <c r="J224" i="1"/>
  <c r="I224" i="1"/>
  <c r="H224" i="1"/>
  <c r="G224" i="1"/>
  <c r="D224" i="1"/>
  <c r="O223" i="1"/>
  <c r="L223" i="1"/>
  <c r="J223" i="1"/>
  <c r="I223" i="1"/>
  <c r="H223" i="1"/>
  <c r="G223" i="1"/>
  <c r="D223" i="1"/>
  <c r="O222" i="1"/>
  <c r="L222" i="1"/>
  <c r="J222" i="1"/>
  <c r="I222" i="1"/>
  <c r="H222" i="1"/>
  <c r="G222" i="1"/>
  <c r="D222" i="1"/>
  <c r="O221" i="1"/>
  <c r="L221" i="1"/>
  <c r="J221" i="1"/>
  <c r="I221" i="1"/>
  <c r="H221" i="1"/>
  <c r="G221" i="1"/>
  <c r="D221" i="1"/>
  <c r="O220" i="1"/>
  <c r="L220" i="1"/>
  <c r="J220" i="1"/>
  <c r="I220" i="1"/>
  <c r="H220" i="1"/>
  <c r="G220" i="1"/>
  <c r="D220" i="1"/>
  <c r="O219" i="1"/>
  <c r="L219" i="1"/>
  <c r="J219" i="1"/>
  <c r="I219" i="1"/>
  <c r="H219" i="1"/>
  <c r="G219" i="1"/>
  <c r="D219" i="1"/>
  <c r="O218" i="1"/>
  <c r="L218" i="1"/>
  <c r="J218" i="1"/>
  <c r="I218" i="1"/>
  <c r="H218" i="1"/>
  <c r="G218" i="1"/>
  <c r="D218" i="1"/>
  <c r="O217" i="1"/>
  <c r="L217" i="1"/>
  <c r="J217" i="1"/>
  <c r="I217" i="1"/>
  <c r="H217" i="1"/>
  <c r="G217" i="1"/>
  <c r="D217" i="1"/>
  <c r="O216" i="1"/>
  <c r="L216" i="1"/>
  <c r="J216" i="1"/>
  <c r="I216" i="1"/>
  <c r="H216" i="1"/>
  <c r="G216" i="1"/>
  <c r="D216" i="1"/>
  <c r="O215" i="1"/>
  <c r="L215" i="1"/>
  <c r="J215" i="1"/>
  <c r="I215" i="1"/>
  <c r="H215" i="1"/>
  <c r="G215" i="1"/>
  <c r="D215" i="1"/>
  <c r="O214" i="1"/>
  <c r="L214" i="1"/>
  <c r="J214" i="1"/>
  <c r="I214" i="1"/>
  <c r="H214" i="1"/>
  <c r="G214" i="1"/>
  <c r="D214" i="1"/>
  <c r="O213" i="1"/>
  <c r="L213" i="1"/>
  <c r="J213" i="1"/>
  <c r="I213" i="1"/>
  <c r="H213" i="1"/>
  <c r="G213" i="1"/>
  <c r="D213" i="1"/>
  <c r="O212" i="1"/>
  <c r="L212" i="1"/>
  <c r="J212" i="1"/>
  <c r="I212" i="1"/>
  <c r="H212" i="1"/>
  <c r="G212" i="1"/>
  <c r="D212" i="1"/>
  <c r="O211" i="1"/>
  <c r="L211" i="1"/>
  <c r="J211" i="1"/>
  <c r="I211" i="1"/>
  <c r="H211" i="1"/>
  <c r="G211" i="1"/>
  <c r="D211" i="1"/>
  <c r="O210" i="1"/>
  <c r="L210" i="1"/>
  <c r="J210" i="1"/>
  <c r="I210" i="1"/>
  <c r="H210" i="1"/>
  <c r="G210" i="1"/>
  <c r="D210" i="1"/>
  <c r="O209" i="1"/>
  <c r="L209" i="1"/>
  <c r="J209" i="1"/>
  <c r="I209" i="1"/>
  <c r="H209" i="1"/>
  <c r="G209" i="1"/>
  <c r="D209" i="1"/>
  <c r="O208" i="1"/>
  <c r="L208" i="1"/>
  <c r="J208" i="1"/>
  <c r="I208" i="1"/>
  <c r="H208" i="1"/>
  <c r="G208" i="1"/>
  <c r="D208" i="1"/>
  <c r="O207" i="1"/>
  <c r="L207" i="1"/>
  <c r="J207" i="1"/>
  <c r="I207" i="1"/>
  <c r="H207" i="1"/>
  <c r="G207" i="1"/>
  <c r="D207" i="1"/>
  <c r="O206" i="1"/>
  <c r="L206" i="1"/>
  <c r="J206" i="1"/>
  <c r="I206" i="1"/>
  <c r="H206" i="1"/>
  <c r="G206" i="1"/>
  <c r="D206" i="1"/>
  <c r="O205" i="1"/>
  <c r="L205" i="1"/>
  <c r="J205" i="1"/>
  <c r="I205" i="1"/>
  <c r="H205" i="1"/>
  <c r="G205" i="1"/>
  <c r="D205" i="1"/>
  <c r="O204" i="1"/>
  <c r="L204" i="1"/>
  <c r="J204" i="1"/>
  <c r="I204" i="1"/>
  <c r="H204" i="1"/>
  <c r="G204" i="1"/>
  <c r="D204" i="1"/>
  <c r="O203" i="1"/>
  <c r="L203" i="1"/>
  <c r="J203" i="1"/>
  <c r="I203" i="1"/>
  <c r="H203" i="1"/>
  <c r="G203" i="1"/>
  <c r="D203" i="1"/>
  <c r="O202" i="1"/>
  <c r="L202" i="1"/>
  <c r="J202" i="1"/>
  <c r="I202" i="1"/>
  <c r="H202" i="1"/>
  <c r="G202" i="1"/>
  <c r="D202" i="1"/>
  <c r="O201" i="1"/>
  <c r="L201" i="1"/>
  <c r="J201" i="1"/>
  <c r="I201" i="1"/>
  <c r="H201" i="1"/>
  <c r="G201" i="1"/>
  <c r="D201" i="1"/>
  <c r="O200" i="1"/>
  <c r="L200" i="1"/>
  <c r="J200" i="1"/>
  <c r="I200" i="1"/>
  <c r="H200" i="1"/>
  <c r="G200" i="1"/>
  <c r="D200" i="1"/>
  <c r="O199" i="1"/>
  <c r="L199" i="1"/>
  <c r="J199" i="1"/>
  <c r="I199" i="1"/>
  <c r="H199" i="1"/>
  <c r="G199" i="1"/>
  <c r="D199" i="1"/>
  <c r="O198" i="1"/>
  <c r="L198" i="1"/>
  <c r="J198" i="1"/>
  <c r="I198" i="1"/>
  <c r="H198" i="1"/>
  <c r="G198" i="1"/>
  <c r="D198" i="1"/>
  <c r="O197" i="1"/>
  <c r="L197" i="1"/>
  <c r="J197" i="1"/>
  <c r="I197" i="1"/>
  <c r="H197" i="1"/>
  <c r="G197" i="1"/>
  <c r="D197" i="1"/>
  <c r="O196" i="1"/>
  <c r="L196" i="1"/>
  <c r="J196" i="1"/>
  <c r="I196" i="1"/>
  <c r="H196" i="1"/>
  <c r="G196" i="1"/>
  <c r="D196" i="1"/>
  <c r="O195" i="1"/>
  <c r="L195" i="1"/>
  <c r="J195" i="1"/>
  <c r="I195" i="1"/>
  <c r="H195" i="1"/>
  <c r="G195" i="1"/>
  <c r="D195" i="1"/>
  <c r="O194" i="1"/>
  <c r="L194" i="1"/>
  <c r="J194" i="1"/>
  <c r="I194" i="1"/>
  <c r="H194" i="1"/>
  <c r="G194" i="1"/>
  <c r="D194" i="1"/>
  <c r="O193" i="1"/>
  <c r="L193" i="1"/>
  <c r="J193" i="1"/>
  <c r="I193" i="1"/>
  <c r="H193" i="1"/>
  <c r="G193" i="1"/>
  <c r="D193" i="1"/>
  <c r="O192" i="1"/>
  <c r="L192" i="1"/>
  <c r="J192" i="1"/>
  <c r="I192" i="1"/>
  <c r="H192" i="1"/>
  <c r="G192" i="1"/>
  <c r="D192" i="1"/>
  <c r="O191" i="1"/>
  <c r="L191" i="1"/>
  <c r="J191" i="1"/>
  <c r="I191" i="1"/>
  <c r="H191" i="1"/>
  <c r="G191" i="1"/>
  <c r="D191" i="1"/>
  <c r="O190" i="1"/>
  <c r="L190" i="1"/>
  <c r="J190" i="1"/>
  <c r="I190" i="1"/>
  <c r="H190" i="1"/>
  <c r="G190" i="1"/>
  <c r="D190" i="1"/>
  <c r="O189" i="1"/>
  <c r="L189" i="1"/>
  <c r="J189" i="1"/>
  <c r="I189" i="1"/>
  <c r="H189" i="1"/>
  <c r="G189" i="1"/>
  <c r="D189" i="1"/>
  <c r="O188" i="1"/>
  <c r="L188" i="1"/>
  <c r="J188" i="1"/>
  <c r="I188" i="1"/>
  <c r="H188" i="1"/>
  <c r="G188" i="1"/>
  <c r="D188" i="1"/>
  <c r="O187" i="1"/>
  <c r="L187" i="1"/>
  <c r="J187" i="1"/>
  <c r="I187" i="1"/>
  <c r="H187" i="1"/>
  <c r="G187" i="1"/>
  <c r="D187" i="1"/>
  <c r="O186" i="1"/>
  <c r="L186" i="1"/>
  <c r="J186" i="1"/>
  <c r="I186" i="1"/>
  <c r="H186" i="1"/>
  <c r="G186" i="1"/>
  <c r="D186" i="1"/>
  <c r="O185" i="1"/>
  <c r="L185" i="1"/>
  <c r="J185" i="1"/>
  <c r="I185" i="1"/>
  <c r="H185" i="1"/>
  <c r="G185" i="1"/>
  <c r="D185" i="1"/>
  <c r="O184" i="1"/>
  <c r="L184" i="1"/>
  <c r="J184" i="1"/>
  <c r="I184" i="1"/>
  <c r="H184" i="1"/>
  <c r="G184" i="1"/>
  <c r="D184" i="1"/>
  <c r="O183" i="1"/>
  <c r="L183" i="1"/>
  <c r="J183" i="1"/>
  <c r="I183" i="1"/>
  <c r="H183" i="1"/>
  <c r="G183" i="1"/>
  <c r="D183" i="1"/>
  <c r="O182" i="1"/>
  <c r="L182" i="1"/>
  <c r="J182" i="1"/>
  <c r="I182" i="1"/>
  <c r="H182" i="1"/>
  <c r="G182" i="1"/>
  <c r="D182" i="1"/>
  <c r="O181" i="1"/>
  <c r="L181" i="1"/>
  <c r="J181" i="1"/>
  <c r="I181" i="1"/>
  <c r="H181" i="1"/>
  <c r="G181" i="1"/>
  <c r="D181" i="1"/>
  <c r="O180" i="1"/>
  <c r="L180" i="1"/>
  <c r="J180" i="1"/>
  <c r="I180" i="1"/>
  <c r="H180" i="1"/>
  <c r="G180" i="1"/>
  <c r="D180" i="1"/>
  <c r="O179" i="1"/>
  <c r="L179" i="1"/>
  <c r="J179" i="1"/>
  <c r="I179" i="1"/>
  <c r="H179" i="1"/>
  <c r="G179" i="1"/>
  <c r="D179" i="1"/>
  <c r="O178" i="1"/>
  <c r="L178" i="1"/>
  <c r="J178" i="1"/>
  <c r="I178" i="1"/>
  <c r="H178" i="1"/>
  <c r="G178" i="1"/>
  <c r="D178" i="1"/>
  <c r="O177" i="1"/>
  <c r="L177" i="1"/>
  <c r="J177" i="1"/>
  <c r="I177" i="1"/>
  <c r="H177" i="1"/>
  <c r="G177" i="1"/>
  <c r="D177" i="1"/>
  <c r="O176" i="1"/>
  <c r="L176" i="1"/>
  <c r="J176" i="1"/>
  <c r="I176" i="1"/>
  <c r="H176" i="1"/>
  <c r="G176" i="1"/>
  <c r="D176" i="1"/>
  <c r="O175" i="1"/>
  <c r="L175" i="1"/>
  <c r="J175" i="1"/>
  <c r="I175" i="1"/>
  <c r="H175" i="1"/>
  <c r="G175" i="1"/>
  <c r="D175" i="1"/>
  <c r="O174" i="1"/>
  <c r="L174" i="1"/>
  <c r="J174" i="1"/>
  <c r="I174" i="1"/>
  <c r="H174" i="1"/>
  <c r="G174" i="1"/>
  <c r="D174" i="1"/>
  <c r="O173" i="1"/>
  <c r="L173" i="1"/>
  <c r="J173" i="1"/>
  <c r="I173" i="1"/>
  <c r="H173" i="1"/>
  <c r="G173" i="1"/>
  <c r="D173" i="1"/>
  <c r="O172" i="1"/>
  <c r="L172" i="1"/>
  <c r="J172" i="1"/>
  <c r="I172" i="1"/>
  <c r="H172" i="1"/>
  <c r="G172" i="1"/>
  <c r="D172" i="1"/>
  <c r="O171" i="1"/>
  <c r="L171" i="1"/>
  <c r="J171" i="1"/>
  <c r="I171" i="1"/>
  <c r="H171" i="1"/>
  <c r="G171" i="1"/>
  <c r="D171" i="1"/>
  <c r="O170" i="1"/>
  <c r="L170" i="1"/>
  <c r="J170" i="1"/>
  <c r="I170" i="1"/>
  <c r="H170" i="1"/>
  <c r="G170" i="1"/>
  <c r="D170" i="1"/>
  <c r="O169" i="1"/>
  <c r="L169" i="1"/>
  <c r="J169" i="1"/>
  <c r="I169" i="1"/>
  <c r="H169" i="1"/>
  <c r="G169" i="1"/>
  <c r="D169" i="1"/>
  <c r="O168" i="1"/>
  <c r="L168" i="1"/>
  <c r="J168" i="1"/>
  <c r="I168" i="1"/>
  <c r="H168" i="1"/>
  <c r="G168" i="1"/>
  <c r="D168" i="1"/>
  <c r="O167" i="1"/>
  <c r="L167" i="1"/>
  <c r="J167" i="1"/>
  <c r="I167" i="1"/>
  <c r="H167" i="1"/>
  <c r="G167" i="1"/>
  <c r="D167" i="1"/>
  <c r="O166" i="1"/>
  <c r="L166" i="1"/>
  <c r="J166" i="1"/>
  <c r="I166" i="1"/>
  <c r="H166" i="1"/>
  <c r="G166" i="1"/>
  <c r="D166" i="1"/>
  <c r="O165" i="1"/>
  <c r="L165" i="1"/>
  <c r="J165" i="1"/>
  <c r="I165" i="1"/>
  <c r="H165" i="1"/>
  <c r="G165" i="1"/>
  <c r="D165" i="1"/>
  <c r="O164" i="1"/>
  <c r="L164" i="1"/>
  <c r="J164" i="1"/>
  <c r="I164" i="1"/>
  <c r="H164" i="1"/>
  <c r="G164" i="1"/>
  <c r="D164" i="1"/>
  <c r="O163" i="1"/>
  <c r="L163" i="1"/>
  <c r="J163" i="1"/>
  <c r="I163" i="1"/>
  <c r="H163" i="1"/>
  <c r="G163" i="1"/>
  <c r="D163" i="1"/>
  <c r="O162" i="1"/>
  <c r="L162" i="1"/>
  <c r="J162" i="1"/>
  <c r="I162" i="1"/>
  <c r="H162" i="1"/>
  <c r="G162" i="1"/>
  <c r="D162" i="1"/>
  <c r="O161" i="1"/>
  <c r="L161" i="1"/>
  <c r="J161" i="1"/>
  <c r="I161" i="1"/>
  <c r="H161" i="1"/>
  <c r="G161" i="1"/>
  <c r="D161" i="1"/>
  <c r="O160" i="1"/>
  <c r="L160" i="1"/>
  <c r="J160" i="1"/>
  <c r="I160" i="1"/>
  <c r="H160" i="1"/>
  <c r="G160" i="1"/>
  <c r="D160" i="1"/>
  <c r="O159" i="1"/>
  <c r="L159" i="1"/>
  <c r="J159" i="1"/>
  <c r="I159" i="1"/>
  <c r="H159" i="1"/>
  <c r="G159" i="1"/>
  <c r="D159" i="1"/>
  <c r="O158" i="1"/>
  <c r="L158" i="1"/>
  <c r="J158" i="1"/>
  <c r="I158" i="1"/>
  <c r="H158" i="1"/>
  <c r="G158" i="1"/>
  <c r="D158" i="1"/>
  <c r="O157" i="1"/>
  <c r="L157" i="1"/>
  <c r="J157" i="1"/>
  <c r="I157" i="1"/>
  <c r="H157" i="1"/>
  <c r="G157" i="1"/>
  <c r="D157" i="1"/>
  <c r="O156" i="1"/>
  <c r="L156" i="1"/>
  <c r="J156" i="1"/>
  <c r="I156" i="1"/>
  <c r="H156" i="1"/>
  <c r="G156" i="1"/>
  <c r="D156" i="1"/>
  <c r="O155" i="1"/>
  <c r="L155" i="1"/>
  <c r="J155" i="1"/>
  <c r="I155" i="1"/>
  <c r="H155" i="1"/>
  <c r="G155" i="1"/>
  <c r="D155" i="1"/>
  <c r="O154" i="1"/>
  <c r="L154" i="1"/>
  <c r="J154" i="1"/>
  <c r="I154" i="1"/>
  <c r="H154" i="1"/>
  <c r="G154" i="1"/>
  <c r="D154" i="1"/>
  <c r="O153" i="1"/>
  <c r="L153" i="1"/>
  <c r="J153" i="1"/>
  <c r="I153" i="1"/>
  <c r="H153" i="1"/>
  <c r="G153" i="1"/>
  <c r="D153" i="1"/>
  <c r="O152" i="1"/>
  <c r="L152" i="1"/>
  <c r="J152" i="1"/>
  <c r="I152" i="1"/>
  <c r="H152" i="1"/>
  <c r="G152" i="1"/>
  <c r="D152" i="1"/>
  <c r="O151" i="1"/>
  <c r="L151" i="1"/>
  <c r="J151" i="1"/>
  <c r="I151" i="1"/>
  <c r="H151" i="1"/>
  <c r="G151" i="1"/>
  <c r="D151" i="1"/>
  <c r="O150" i="1"/>
  <c r="L150" i="1"/>
  <c r="J150" i="1"/>
  <c r="I150" i="1"/>
  <c r="H150" i="1"/>
  <c r="G150" i="1"/>
  <c r="D150" i="1"/>
  <c r="O149" i="1"/>
  <c r="L149" i="1"/>
  <c r="J149" i="1"/>
  <c r="I149" i="1"/>
  <c r="H149" i="1"/>
  <c r="G149" i="1"/>
  <c r="D149" i="1"/>
  <c r="O148" i="1"/>
  <c r="L148" i="1"/>
  <c r="J148" i="1"/>
  <c r="I148" i="1"/>
  <c r="H148" i="1"/>
  <c r="G148" i="1"/>
  <c r="D148" i="1"/>
  <c r="O147" i="1"/>
  <c r="L147" i="1"/>
  <c r="J147" i="1"/>
  <c r="I147" i="1"/>
  <c r="H147" i="1"/>
  <c r="G147" i="1"/>
  <c r="D147" i="1"/>
  <c r="O146" i="1"/>
  <c r="L146" i="1"/>
  <c r="J146" i="1"/>
  <c r="I146" i="1"/>
  <c r="H146" i="1"/>
  <c r="G146" i="1"/>
  <c r="D146" i="1"/>
  <c r="O145" i="1"/>
  <c r="L145" i="1"/>
  <c r="J145" i="1"/>
  <c r="I145" i="1"/>
  <c r="H145" i="1"/>
  <c r="G145" i="1"/>
  <c r="D145" i="1"/>
  <c r="O144" i="1"/>
  <c r="L144" i="1"/>
  <c r="J144" i="1"/>
  <c r="I144" i="1"/>
  <c r="H144" i="1"/>
  <c r="G144" i="1"/>
  <c r="D144" i="1"/>
  <c r="O143" i="1"/>
  <c r="L143" i="1"/>
  <c r="J143" i="1"/>
  <c r="I143" i="1"/>
  <c r="H143" i="1"/>
  <c r="G143" i="1"/>
  <c r="D143" i="1"/>
  <c r="O142" i="1"/>
  <c r="L142" i="1"/>
  <c r="J142" i="1"/>
  <c r="I142" i="1"/>
  <c r="H142" i="1"/>
  <c r="G142" i="1"/>
  <c r="D142" i="1"/>
  <c r="O141" i="1"/>
  <c r="L141" i="1"/>
  <c r="J141" i="1"/>
  <c r="I141" i="1"/>
  <c r="H141" i="1"/>
  <c r="G141" i="1"/>
  <c r="D141" i="1"/>
  <c r="O140" i="1"/>
  <c r="L140" i="1"/>
  <c r="J140" i="1"/>
  <c r="I140" i="1"/>
  <c r="H140" i="1"/>
  <c r="G140" i="1"/>
  <c r="D140" i="1"/>
  <c r="O139" i="1"/>
  <c r="L139" i="1"/>
  <c r="J139" i="1"/>
  <c r="I139" i="1"/>
  <c r="H139" i="1"/>
  <c r="G139" i="1"/>
  <c r="D139" i="1"/>
  <c r="O138" i="1"/>
  <c r="L138" i="1"/>
  <c r="J138" i="1"/>
  <c r="I138" i="1"/>
  <c r="H138" i="1"/>
  <c r="G138" i="1"/>
  <c r="D138" i="1"/>
  <c r="O137" i="1"/>
  <c r="L137" i="1"/>
  <c r="J137" i="1"/>
  <c r="I137" i="1"/>
  <c r="H137" i="1"/>
  <c r="G137" i="1"/>
  <c r="D137" i="1"/>
  <c r="O136" i="1"/>
  <c r="L136" i="1"/>
  <c r="J136" i="1"/>
  <c r="I136" i="1"/>
  <c r="H136" i="1"/>
  <c r="G136" i="1"/>
  <c r="D136" i="1"/>
  <c r="O135" i="1"/>
  <c r="L135" i="1"/>
  <c r="J135" i="1"/>
  <c r="I135" i="1"/>
  <c r="H135" i="1"/>
  <c r="G135" i="1"/>
  <c r="D135" i="1"/>
  <c r="O134" i="1"/>
  <c r="L134" i="1"/>
  <c r="J134" i="1"/>
  <c r="I134" i="1"/>
  <c r="H134" i="1"/>
  <c r="G134" i="1"/>
  <c r="D134" i="1"/>
  <c r="O133" i="1"/>
  <c r="L133" i="1"/>
  <c r="J133" i="1"/>
  <c r="I133" i="1"/>
  <c r="H133" i="1"/>
  <c r="G133" i="1"/>
  <c r="D133" i="1"/>
  <c r="O132" i="1"/>
  <c r="L132" i="1"/>
  <c r="J132" i="1"/>
  <c r="I132" i="1"/>
  <c r="H132" i="1"/>
  <c r="G132" i="1"/>
  <c r="D132" i="1"/>
  <c r="O131" i="1"/>
  <c r="L131" i="1"/>
  <c r="J131" i="1"/>
  <c r="I131" i="1"/>
  <c r="H131" i="1"/>
  <c r="G131" i="1"/>
  <c r="D131" i="1"/>
  <c r="O130" i="1"/>
  <c r="L130" i="1"/>
  <c r="J130" i="1"/>
  <c r="I130" i="1"/>
  <c r="H130" i="1"/>
  <c r="G130" i="1"/>
  <c r="D130" i="1"/>
  <c r="O129" i="1"/>
  <c r="L129" i="1"/>
  <c r="J129" i="1"/>
  <c r="I129" i="1"/>
  <c r="H129" i="1"/>
  <c r="G129" i="1"/>
  <c r="D129" i="1"/>
  <c r="O128" i="1"/>
  <c r="L128" i="1"/>
  <c r="J128" i="1"/>
  <c r="I128" i="1"/>
  <c r="H128" i="1"/>
  <c r="G128" i="1"/>
  <c r="D128" i="1"/>
  <c r="O127" i="1"/>
  <c r="L127" i="1"/>
  <c r="J127" i="1"/>
  <c r="I127" i="1"/>
  <c r="H127" i="1"/>
  <c r="G127" i="1"/>
  <c r="D127" i="1"/>
  <c r="O126" i="1"/>
  <c r="L126" i="1"/>
  <c r="J126" i="1"/>
  <c r="I126" i="1"/>
  <c r="H126" i="1"/>
  <c r="G126" i="1"/>
  <c r="D126" i="1"/>
  <c r="O125" i="1"/>
  <c r="L125" i="1"/>
  <c r="J125" i="1"/>
  <c r="I125" i="1"/>
  <c r="H125" i="1"/>
  <c r="G125" i="1"/>
  <c r="D125" i="1"/>
  <c r="O124" i="1"/>
  <c r="L124" i="1"/>
  <c r="J124" i="1"/>
  <c r="I124" i="1"/>
  <c r="H124" i="1"/>
  <c r="G124" i="1"/>
  <c r="D124" i="1"/>
  <c r="O123" i="1"/>
  <c r="L123" i="1"/>
  <c r="J123" i="1"/>
  <c r="I123" i="1"/>
  <c r="H123" i="1"/>
  <c r="G123" i="1"/>
  <c r="D123" i="1"/>
  <c r="O122" i="1"/>
  <c r="L122" i="1"/>
  <c r="J122" i="1"/>
  <c r="I122" i="1"/>
  <c r="H122" i="1"/>
  <c r="G122" i="1"/>
  <c r="D122" i="1"/>
  <c r="O121" i="1"/>
  <c r="L121" i="1"/>
  <c r="J121" i="1"/>
  <c r="I121" i="1"/>
  <c r="H121" i="1"/>
  <c r="G121" i="1"/>
  <c r="D121" i="1"/>
  <c r="O120" i="1"/>
  <c r="L120" i="1"/>
  <c r="J120" i="1"/>
  <c r="I120" i="1"/>
  <c r="H120" i="1"/>
  <c r="G120" i="1"/>
  <c r="D120" i="1"/>
  <c r="O119" i="1"/>
  <c r="L119" i="1"/>
  <c r="J119" i="1"/>
  <c r="I119" i="1"/>
  <c r="H119" i="1"/>
  <c r="G119" i="1"/>
  <c r="D119" i="1"/>
  <c r="O118" i="1"/>
  <c r="L118" i="1"/>
  <c r="J118" i="1"/>
  <c r="I118" i="1"/>
  <c r="H118" i="1"/>
  <c r="G118" i="1"/>
  <c r="D118" i="1"/>
  <c r="O117" i="1"/>
  <c r="L117" i="1"/>
  <c r="J117" i="1"/>
  <c r="I117" i="1"/>
  <c r="H117" i="1"/>
  <c r="G117" i="1"/>
  <c r="D117" i="1"/>
  <c r="O116" i="1"/>
  <c r="L116" i="1"/>
  <c r="J116" i="1"/>
  <c r="I116" i="1"/>
  <c r="H116" i="1"/>
  <c r="G116" i="1"/>
  <c r="D116" i="1"/>
  <c r="O115" i="1"/>
  <c r="L115" i="1"/>
  <c r="J115" i="1"/>
  <c r="I115" i="1"/>
  <c r="H115" i="1"/>
  <c r="G115" i="1"/>
  <c r="D115" i="1"/>
  <c r="O114" i="1"/>
  <c r="L114" i="1"/>
  <c r="J114" i="1"/>
  <c r="I114" i="1"/>
  <c r="H114" i="1"/>
  <c r="G114" i="1"/>
  <c r="D114" i="1"/>
  <c r="O113" i="1"/>
  <c r="L113" i="1"/>
  <c r="J113" i="1"/>
  <c r="I113" i="1"/>
  <c r="H113" i="1"/>
  <c r="G113" i="1"/>
  <c r="D113" i="1"/>
  <c r="O112" i="1"/>
  <c r="L112" i="1"/>
  <c r="J112" i="1"/>
  <c r="I112" i="1"/>
  <c r="H112" i="1"/>
  <c r="G112" i="1"/>
  <c r="D112" i="1"/>
  <c r="O111" i="1"/>
  <c r="L111" i="1"/>
  <c r="J111" i="1"/>
  <c r="I111" i="1"/>
  <c r="H111" i="1"/>
  <c r="G111" i="1"/>
  <c r="D111" i="1"/>
  <c r="O110" i="1"/>
  <c r="L110" i="1"/>
  <c r="J110" i="1"/>
  <c r="I110" i="1"/>
  <c r="H110" i="1"/>
  <c r="G110" i="1"/>
  <c r="D110" i="1"/>
  <c r="O109" i="1"/>
  <c r="L109" i="1"/>
  <c r="J109" i="1"/>
  <c r="I109" i="1"/>
  <c r="H109" i="1"/>
  <c r="G109" i="1"/>
  <c r="D109" i="1"/>
  <c r="O108" i="1"/>
  <c r="L108" i="1"/>
  <c r="J108" i="1"/>
  <c r="I108" i="1"/>
  <c r="H108" i="1"/>
  <c r="G108" i="1"/>
  <c r="D108" i="1"/>
  <c r="O107" i="1"/>
  <c r="L107" i="1"/>
  <c r="J107" i="1"/>
  <c r="I107" i="1"/>
  <c r="H107" i="1"/>
  <c r="G107" i="1"/>
  <c r="D107" i="1"/>
  <c r="O106" i="1"/>
  <c r="L106" i="1"/>
  <c r="J106" i="1"/>
  <c r="I106" i="1"/>
  <c r="H106" i="1"/>
  <c r="G106" i="1"/>
  <c r="D106" i="1"/>
  <c r="O105" i="1"/>
  <c r="L105" i="1"/>
  <c r="J105" i="1"/>
  <c r="I105" i="1"/>
  <c r="H105" i="1"/>
  <c r="G105" i="1"/>
  <c r="D105" i="1"/>
  <c r="O104" i="1"/>
  <c r="L104" i="1"/>
  <c r="J104" i="1"/>
  <c r="I104" i="1"/>
  <c r="H104" i="1"/>
  <c r="G104" i="1"/>
  <c r="D104" i="1"/>
  <c r="O103" i="1"/>
  <c r="L103" i="1"/>
  <c r="J103" i="1"/>
  <c r="I103" i="1"/>
  <c r="H103" i="1"/>
  <c r="G103" i="1"/>
  <c r="D103" i="1"/>
  <c r="O102" i="1"/>
  <c r="L102" i="1"/>
  <c r="J102" i="1"/>
  <c r="I102" i="1"/>
  <c r="H102" i="1"/>
  <c r="G102" i="1"/>
  <c r="D102" i="1"/>
  <c r="O101" i="1"/>
  <c r="L101" i="1"/>
  <c r="J101" i="1"/>
  <c r="I101" i="1"/>
  <c r="H101" i="1"/>
  <c r="G101" i="1"/>
  <c r="D101" i="1"/>
  <c r="O100" i="1"/>
  <c r="L100" i="1"/>
  <c r="J100" i="1"/>
  <c r="I100" i="1"/>
  <c r="H100" i="1"/>
  <c r="G100" i="1"/>
  <c r="D100" i="1"/>
  <c r="O99" i="1"/>
  <c r="L99" i="1"/>
  <c r="J99" i="1"/>
  <c r="I99" i="1"/>
  <c r="H99" i="1"/>
  <c r="G99" i="1"/>
  <c r="D99" i="1"/>
  <c r="O98" i="1"/>
  <c r="L98" i="1"/>
  <c r="J98" i="1"/>
  <c r="I98" i="1"/>
  <c r="H98" i="1"/>
  <c r="G98" i="1"/>
  <c r="D98" i="1"/>
  <c r="O97" i="1"/>
  <c r="L97" i="1"/>
  <c r="J97" i="1"/>
  <c r="I97" i="1"/>
  <c r="H97" i="1"/>
  <c r="G97" i="1"/>
  <c r="D97" i="1"/>
  <c r="O96" i="1"/>
  <c r="L96" i="1"/>
  <c r="J96" i="1"/>
  <c r="I96" i="1"/>
  <c r="H96" i="1"/>
  <c r="G96" i="1"/>
  <c r="D96" i="1"/>
  <c r="O95" i="1"/>
  <c r="L95" i="1"/>
  <c r="J95" i="1"/>
  <c r="I95" i="1"/>
  <c r="H95" i="1"/>
  <c r="G95" i="1"/>
  <c r="D95" i="1"/>
  <c r="O94" i="1"/>
  <c r="L94" i="1"/>
  <c r="J94" i="1"/>
  <c r="I94" i="1"/>
  <c r="H94" i="1"/>
  <c r="G94" i="1"/>
  <c r="D94" i="1"/>
  <c r="O93" i="1"/>
  <c r="L93" i="1"/>
  <c r="J93" i="1"/>
  <c r="I93" i="1"/>
  <c r="H93" i="1"/>
  <c r="G93" i="1"/>
  <c r="D93" i="1"/>
  <c r="O92" i="1"/>
  <c r="L92" i="1"/>
  <c r="J92" i="1"/>
  <c r="I92" i="1"/>
  <c r="H92" i="1"/>
  <c r="G92" i="1"/>
  <c r="D92" i="1"/>
  <c r="O91" i="1"/>
  <c r="L91" i="1"/>
  <c r="J91" i="1"/>
  <c r="I91" i="1"/>
  <c r="H91" i="1"/>
  <c r="G91" i="1"/>
  <c r="D91" i="1"/>
  <c r="O90" i="1"/>
  <c r="L90" i="1"/>
  <c r="J90" i="1"/>
  <c r="I90" i="1"/>
  <c r="H90" i="1"/>
  <c r="G90" i="1"/>
  <c r="D90" i="1"/>
  <c r="O89" i="1"/>
  <c r="L89" i="1"/>
  <c r="J89" i="1"/>
  <c r="I89" i="1"/>
  <c r="H89" i="1"/>
  <c r="G89" i="1"/>
  <c r="D89" i="1"/>
  <c r="O88" i="1"/>
  <c r="L88" i="1"/>
  <c r="J88" i="1"/>
  <c r="I88" i="1"/>
  <c r="H88" i="1"/>
  <c r="G88" i="1"/>
  <c r="D88" i="1"/>
  <c r="O87" i="1"/>
  <c r="L87" i="1"/>
  <c r="J87" i="1"/>
  <c r="I87" i="1"/>
  <c r="H87" i="1"/>
  <c r="G87" i="1"/>
  <c r="D87" i="1"/>
  <c r="O86" i="1"/>
  <c r="L86" i="1"/>
  <c r="J86" i="1"/>
  <c r="I86" i="1"/>
  <c r="H86" i="1"/>
  <c r="G86" i="1"/>
  <c r="D86" i="1"/>
  <c r="O85" i="1"/>
  <c r="L85" i="1"/>
  <c r="J85" i="1"/>
  <c r="I85" i="1"/>
  <c r="H85" i="1"/>
  <c r="G85" i="1"/>
  <c r="D85" i="1"/>
  <c r="O84" i="1"/>
  <c r="L84" i="1"/>
  <c r="J84" i="1"/>
  <c r="I84" i="1"/>
  <c r="H84" i="1"/>
  <c r="G84" i="1"/>
  <c r="D84" i="1"/>
  <c r="O83" i="1"/>
  <c r="L83" i="1"/>
  <c r="J83" i="1"/>
  <c r="I83" i="1"/>
  <c r="H83" i="1"/>
  <c r="G83" i="1"/>
  <c r="D83" i="1"/>
  <c r="O82" i="1"/>
  <c r="L82" i="1"/>
  <c r="J82" i="1"/>
  <c r="I82" i="1"/>
  <c r="H82" i="1"/>
  <c r="G82" i="1"/>
  <c r="D82" i="1"/>
  <c r="O81" i="1"/>
  <c r="L81" i="1"/>
  <c r="J81" i="1"/>
  <c r="I81" i="1"/>
  <c r="H81" i="1"/>
  <c r="G81" i="1"/>
  <c r="D81" i="1"/>
  <c r="O80" i="1"/>
  <c r="L80" i="1"/>
  <c r="J80" i="1"/>
  <c r="I80" i="1"/>
  <c r="H80" i="1"/>
  <c r="G80" i="1"/>
  <c r="D80" i="1"/>
  <c r="O79" i="1"/>
  <c r="L79" i="1"/>
  <c r="J79" i="1"/>
  <c r="I79" i="1"/>
  <c r="H79" i="1"/>
  <c r="G79" i="1"/>
  <c r="D79" i="1"/>
  <c r="O78" i="1"/>
  <c r="L78" i="1"/>
  <c r="J78" i="1"/>
  <c r="I78" i="1"/>
  <c r="H78" i="1"/>
  <c r="G78" i="1"/>
  <c r="D78" i="1"/>
  <c r="O77" i="1"/>
  <c r="L77" i="1"/>
  <c r="J77" i="1"/>
  <c r="I77" i="1"/>
  <c r="H77" i="1"/>
  <c r="G77" i="1"/>
  <c r="D77" i="1"/>
  <c r="O76" i="1"/>
  <c r="L76" i="1"/>
  <c r="J76" i="1"/>
  <c r="I76" i="1"/>
  <c r="H76" i="1"/>
  <c r="G76" i="1"/>
  <c r="D76" i="1"/>
  <c r="O75" i="1"/>
  <c r="L75" i="1"/>
  <c r="J75" i="1"/>
  <c r="I75" i="1"/>
  <c r="H75" i="1"/>
  <c r="G75" i="1"/>
  <c r="D75" i="1"/>
  <c r="O74" i="1"/>
  <c r="L74" i="1"/>
  <c r="J74" i="1"/>
  <c r="I74" i="1"/>
  <c r="H74" i="1"/>
  <c r="G74" i="1"/>
  <c r="D74" i="1"/>
  <c r="O73" i="1"/>
  <c r="L73" i="1"/>
  <c r="J73" i="1"/>
  <c r="I73" i="1"/>
  <c r="H73" i="1"/>
  <c r="G73" i="1"/>
  <c r="D73" i="1"/>
  <c r="O72" i="1"/>
  <c r="L72" i="1"/>
  <c r="J72" i="1"/>
  <c r="I72" i="1"/>
  <c r="H72" i="1"/>
  <c r="G72" i="1"/>
  <c r="D72" i="1"/>
  <c r="O71" i="1"/>
  <c r="L71" i="1"/>
  <c r="J71" i="1"/>
  <c r="I71" i="1"/>
  <c r="H71" i="1"/>
  <c r="G71" i="1"/>
  <c r="D71" i="1"/>
  <c r="O70" i="1"/>
  <c r="L70" i="1"/>
  <c r="J70" i="1"/>
  <c r="I70" i="1"/>
  <c r="H70" i="1"/>
  <c r="G70" i="1"/>
  <c r="D70" i="1"/>
  <c r="O69" i="1"/>
  <c r="L69" i="1"/>
  <c r="J69" i="1"/>
  <c r="I69" i="1"/>
  <c r="H69" i="1"/>
  <c r="G69" i="1"/>
  <c r="D69" i="1"/>
  <c r="O68" i="1"/>
  <c r="L68" i="1"/>
  <c r="J68" i="1"/>
  <c r="I68" i="1"/>
  <c r="H68" i="1"/>
  <c r="G68" i="1"/>
  <c r="D68" i="1"/>
  <c r="O67" i="1"/>
  <c r="L67" i="1"/>
  <c r="J67" i="1"/>
  <c r="I67" i="1"/>
  <c r="H67" i="1"/>
  <c r="G67" i="1"/>
  <c r="D67" i="1"/>
  <c r="O66" i="1"/>
  <c r="L66" i="1"/>
  <c r="J66" i="1"/>
  <c r="I66" i="1"/>
  <c r="H66" i="1"/>
  <c r="G66" i="1"/>
  <c r="D66" i="1"/>
  <c r="O65" i="1"/>
  <c r="L65" i="1"/>
  <c r="J65" i="1"/>
  <c r="I65" i="1"/>
  <c r="H65" i="1"/>
  <c r="G65" i="1"/>
  <c r="D65" i="1"/>
  <c r="O64" i="1"/>
  <c r="L64" i="1"/>
  <c r="J64" i="1"/>
  <c r="I64" i="1"/>
  <c r="H64" i="1"/>
  <c r="G64" i="1"/>
  <c r="D64" i="1"/>
  <c r="O63" i="1"/>
  <c r="L63" i="1"/>
  <c r="J63" i="1"/>
  <c r="I63" i="1"/>
  <c r="H63" i="1"/>
  <c r="G63" i="1"/>
  <c r="D63" i="1"/>
  <c r="O62" i="1"/>
  <c r="L62" i="1"/>
  <c r="J62" i="1"/>
  <c r="I62" i="1"/>
  <c r="H62" i="1"/>
  <c r="G62" i="1"/>
  <c r="D62" i="1"/>
  <c r="O61" i="1"/>
  <c r="L61" i="1"/>
  <c r="J61" i="1"/>
  <c r="I61" i="1"/>
  <c r="H61" i="1"/>
  <c r="G61" i="1"/>
  <c r="D61" i="1"/>
  <c r="O60" i="1"/>
  <c r="L60" i="1"/>
  <c r="J60" i="1"/>
  <c r="I60" i="1"/>
  <c r="H60" i="1"/>
  <c r="G60" i="1"/>
  <c r="D60" i="1"/>
  <c r="O59" i="1"/>
  <c r="L59" i="1"/>
  <c r="J59" i="1"/>
  <c r="I59" i="1"/>
  <c r="H59" i="1"/>
  <c r="G59" i="1"/>
  <c r="D59" i="1"/>
  <c r="O58" i="1"/>
  <c r="L58" i="1"/>
  <c r="J58" i="1"/>
  <c r="I58" i="1"/>
  <c r="H58" i="1"/>
  <c r="G58" i="1"/>
  <c r="D58" i="1"/>
  <c r="O57" i="1"/>
  <c r="L57" i="1"/>
  <c r="J57" i="1"/>
  <c r="I57" i="1"/>
  <c r="H57" i="1"/>
  <c r="G57" i="1"/>
  <c r="D57" i="1"/>
  <c r="O56" i="1"/>
  <c r="L56" i="1"/>
  <c r="J56" i="1"/>
  <c r="I56" i="1"/>
  <c r="H56" i="1"/>
  <c r="G56" i="1"/>
  <c r="D56" i="1"/>
  <c r="O55" i="1"/>
  <c r="L55" i="1"/>
  <c r="J55" i="1"/>
  <c r="I55" i="1"/>
  <c r="H55" i="1"/>
  <c r="G55" i="1"/>
  <c r="D55" i="1"/>
  <c r="O54" i="1"/>
  <c r="L54" i="1"/>
  <c r="J54" i="1"/>
  <c r="I54" i="1"/>
  <c r="H54" i="1"/>
  <c r="G54" i="1"/>
  <c r="D54" i="1"/>
  <c r="O53" i="1"/>
  <c r="L53" i="1"/>
  <c r="J53" i="1"/>
  <c r="I53" i="1"/>
  <c r="H53" i="1"/>
  <c r="G53" i="1"/>
  <c r="D53" i="1"/>
  <c r="O52" i="1"/>
  <c r="L52" i="1"/>
  <c r="J52" i="1"/>
  <c r="I52" i="1"/>
  <c r="H52" i="1"/>
  <c r="G52" i="1"/>
  <c r="D52" i="1"/>
  <c r="O51" i="1"/>
  <c r="L51" i="1"/>
  <c r="J51" i="1"/>
  <c r="I51" i="1"/>
  <c r="H51" i="1"/>
  <c r="G51" i="1"/>
  <c r="D51" i="1"/>
  <c r="O50" i="1"/>
  <c r="L50" i="1"/>
  <c r="J50" i="1"/>
  <c r="I50" i="1"/>
  <c r="H50" i="1"/>
  <c r="G50" i="1"/>
  <c r="D50" i="1"/>
  <c r="O49" i="1"/>
  <c r="L49" i="1"/>
  <c r="J49" i="1"/>
  <c r="I49" i="1"/>
  <c r="H49" i="1"/>
  <c r="G49" i="1"/>
  <c r="D49" i="1"/>
  <c r="O48" i="1"/>
  <c r="L48" i="1"/>
  <c r="J48" i="1"/>
  <c r="I48" i="1"/>
  <c r="H48" i="1"/>
  <c r="G48" i="1"/>
  <c r="D48" i="1"/>
  <c r="O47" i="1"/>
  <c r="L47" i="1"/>
  <c r="J47" i="1"/>
  <c r="I47" i="1"/>
  <c r="H47" i="1"/>
  <c r="G47" i="1"/>
  <c r="D47" i="1"/>
  <c r="O46" i="1"/>
  <c r="L46" i="1"/>
  <c r="J46" i="1"/>
  <c r="I46" i="1"/>
  <c r="H46" i="1"/>
  <c r="G46" i="1"/>
  <c r="D46" i="1"/>
  <c r="O45" i="1"/>
  <c r="L45" i="1"/>
  <c r="J45" i="1"/>
  <c r="I45" i="1"/>
  <c r="H45" i="1"/>
  <c r="G45" i="1"/>
  <c r="D45" i="1"/>
  <c r="O44" i="1"/>
  <c r="L44" i="1"/>
  <c r="J44" i="1"/>
  <c r="I44" i="1"/>
  <c r="H44" i="1"/>
  <c r="G44" i="1"/>
  <c r="D44" i="1"/>
  <c r="O43" i="1"/>
  <c r="L43" i="1"/>
  <c r="J43" i="1"/>
  <c r="I43" i="1"/>
  <c r="H43" i="1"/>
  <c r="G43" i="1"/>
  <c r="D43" i="1"/>
  <c r="O42" i="1"/>
  <c r="L42" i="1"/>
  <c r="J42" i="1"/>
  <c r="I42" i="1"/>
  <c r="H42" i="1"/>
  <c r="G42" i="1"/>
  <c r="D42" i="1"/>
  <c r="O41" i="1"/>
  <c r="L41" i="1"/>
  <c r="J41" i="1"/>
  <c r="I41" i="1"/>
  <c r="H41" i="1"/>
  <c r="G41" i="1"/>
  <c r="D41" i="1"/>
  <c r="O40" i="1"/>
  <c r="L40" i="1"/>
  <c r="J40" i="1"/>
  <c r="I40" i="1"/>
  <c r="H40" i="1"/>
  <c r="G40" i="1"/>
  <c r="D40" i="1"/>
  <c r="O39" i="1"/>
  <c r="L39" i="1"/>
  <c r="J39" i="1"/>
  <c r="I39" i="1"/>
  <c r="H39" i="1"/>
  <c r="G39" i="1"/>
  <c r="D39" i="1"/>
  <c r="O38" i="1"/>
  <c r="L38" i="1"/>
  <c r="J38" i="1"/>
  <c r="I38" i="1"/>
  <c r="H38" i="1"/>
  <c r="G38" i="1"/>
  <c r="D38" i="1"/>
  <c r="O37" i="1"/>
  <c r="L37" i="1"/>
  <c r="J37" i="1"/>
  <c r="I37" i="1"/>
  <c r="H37" i="1"/>
  <c r="G37" i="1"/>
  <c r="D37" i="1"/>
  <c r="O36" i="1"/>
  <c r="L36" i="1"/>
  <c r="J36" i="1"/>
  <c r="I36" i="1"/>
  <c r="H36" i="1"/>
  <c r="G36" i="1"/>
  <c r="D36" i="1"/>
  <c r="O35" i="1"/>
  <c r="L35" i="1"/>
  <c r="J35" i="1"/>
  <c r="I35" i="1"/>
  <c r="H35" i="1"/>
  <c r="G35" i="1"/>
  <c r="D35" i="1"/>
  <c r="O34" i="1"/>
  <c r="L34" i="1"/>
  <c r="J34" i="1"/>
  <c r="I34" i="1"/>
  <c r="H34" i="1"/>
  <c r="G34" i="1"/>
  <c r="D34" i="1"/>
  <c r="O33" i="1"/>
  <c r="L33" i="1"/>
  <c r="J33" i="1"/>
  <c r="I33" i="1"/>
  <c r="H33" i="1"/>
  <c r="G33" i="1"/>
  <c r="D33" i="1"/>
  <c r="O32" i="1"/>
  <c r="L32" i="1"/>
  <c r="J32" i="1"/>
  <c r="I32" i="1"/>
  <c r="H32" i="1"/>
  <c r="G32" i="1"/>
  <c r="D32" i="1"/>
  <c r="O31" i="1"/>
  <c r="L31" i="1"/>
  <c r="J31" i="1"/>
  <c r="I31" i="1"/>
  <c r="H31" i="1"/>
  <c r="G31" i="1"/>
  <c r="D31" i="1"/>
  <c r="O30" i="1"/>
  <c r="L30" i="1"/>
  <c r="J30" i="1"/>
  <c r="I30" i="1"/>
  <c r="H30" i="1"/>
  <c r="G30" i="1"/>
  <c r="D30" i="1"/>
  <c r="O29" i="1"/>
  <c r="L29" i="1"/>
  <c r="J29" i="1"/>
  <c r="I29" i="1"/>
  <c r="H29" i="1"/>
  <c r="G29" i="1"/>
  <c r="D29" i="1"/>
  <c r="O28" i="1"/>
  <c r="L28" i="1"/>
  <c r="J28" i="1"/>
  <c r="I28" i="1"/>
  <c r="H28" i="1"/>
  <c r="G28" i="1"/>
  <c r="D28" i="1"/>
  <c r="O27" i="1"/>
  <c r="L27" i="1"/>
  <c r="J27" i="1"/>
  <c r="I27" i="1"/>
  <c r="H27" i="1"/>
  <c r="G27" i="1"/>
  <c r="D27" i="1"/>
  <c r="O26" i="1"/>
  <c r="L26" i="1"/>
  <c r="J26" i="1"/>
  <c r="I26" i="1"/>
  <c r="H26" i="1"/>
  <c r="G26" i="1"/>
  <c r="D26" i="1"/>
  <c r="O25" i="1"/>
  <c r="L25" i="1"/>
  <c r="J25" i="1"/>
  <c r="I25" i="1"/>
  <c r="H25" i="1"/>
  <c r="G25" i="1"/>
  <c r="D25" i="1"/>
  <c r="O24" i="1"/>
  <c r="L24" i="1"/>
  <c r="J24" i="1"/>
  <c r="I24" i="1"/>
  <c r="H24" i="1"/>
  <c r="G24" i="1"/>
  <c r="D24" i="1"/>
  <c r="O23" i="1"/>
  <c r="L23" i="1"/>
  <c r="J23" i="1"/>
  <c r="I23" i="1"/>
  <c r="H23" i="1"/>
  <c r="G23" i="1"/>
  <c r="D23" i="1"/>
  <c r="O22" i="1"/>
  <c r="L22" i="1"/>
  <c r="J22" i="1"/>
  <c r="I22" i="1"/>
  <c r="H22" i="1"/>
  <c r="G22" i="1"/>
  <c r="D22" i="1"/>
  <c r="O21" i="1"/>
  <c r="L21" i="1"/>
  <c r="J21" i="1"/>
  <c r="I21" i="1"/>
  <c r="H21" i="1"/>
  <c r="G21" i="1"/>
  <c r="D21" i="1"/>
  <c r="O20" i="1"/>
  <c r="L20" i="1"/>
  <c r="J20" i="1"/>
  <c r="I20" i="1"/>
  <c r="H20" i="1"/>
  <c r="G20" i="1"/>
  <c r="D20" i="1"/>
  <c r="O19" i="1"/>
  <c r="L19" i="1"/>
  <c r="J19" i="1"/>
  <c r="I19" i="1"/>
  <c r="H19" i="1"/>
  <c r="G19" i="1"/>
  <c r="D19" i="1"/>
  <c r="O18" i="1"/>
  <c r="L18" i="1"/>
  <c r="J18" i="1"/>
  <c r="I18" i="1"/>
  <c r="H18" i="1"/>
  <c r="G18" i="1"/>
  <c r="D18" i="1"/>
  <c r="O17" i="1"/>
  <c r="L17" i="1"/>
  <c r="J17" i="1"/>
  <c r="I17" i="1"/>
  <c r="H17" i="1"/>
  <c r="G17" i="1"/>
  <c r="D17" i="1"/>
  <c r="O16" i="1"/>
  <c r="L16" i="1"/>
  <c r="J16" i="1"/>
  <c r="I16" i="1"/>
  <c r="H16" i="1"/>
  <c r="G16" i="1"/>
  <c r="D16" i="1"/>
  <c r="O15" i="1"/>
  <c r="L15" i="1"/>
  <c r="J15" i="1"/>
  <c r="I15" i="1"/>
  <c r="H15" i="1"/>
  <c r="G15" i="1"/>
  <c r="D15" i="1"/>
  <c r="O14" i="1"/>
  <c r="L14" i="1"/>
  <c r="J14" i="1"/>
  <c r="I14" i="1"/>
  <c r="H14" i="1"/>
  <c r="G14" i="1"/>
  <c r="D14" i="1"/>
  <c r="O13" i="1"/>
  <c r="L13" i="1"/>
  <c r="J13" i="1"/>
  <c r="I13" i="1"/>
  <c r="H13" i="1"/>
  <c r="G13" i="1"/>
  <c r="D13" i="1"/>
  <c r="O12" i="1"/>
  <c r="L12" i="1"/>
  <c r="J12" i="1"/>
  <c r="I12" i="1"/>
  <c r="H12" i="1"/>
  <c r="G12" i="1"/>
  <c r="D12" i="1"/>
  <c r="O11" i="1"/>
  <c r="L11" i="1"/>
  <c r="J11" i="1"/>
  <c r="I11" i="1"/>
  <c r="H11" i="1"/>
  <c r="G11" i="1"/>
  <c r="D11" i="1"/>
  <c r="O10" i="1"/>
  <c r="L10" i="1"/>
  <c r="J10" i="1"/>
  <c r="I10" i="1"/>
  <c r="H10" i="1"/>
  <c r="G10" i="1"/>
  <c r="D10" i="1"/>
  <c r="O9" i="1"/>
  <c r="L9" i="1"/>
  <c r="J9" i="1"/>
  <c r="I9" i="1"/>
  <c r="H9" i="1"/>
  <c r="G9" i="1"/>
  <c r="D9" i="1"/>
  <c r="O8" i="1"/>
  <c r="L8" i="1"/>
  <c r="J8" i="1"/>
  <c r="I8" i="1"/>
  <c r="H8" i="1"/>
  <c r="G8" i="1"/>
  <c r="D8" i="1"/>
  <c r="O7" i="1"/>
  <c r="L7" i="1"/>
  <c r="J7" i="1"/>
  <c r="I7" i="1"/>
  <c r="H7" i="1"/>
  <c r="G7" i="1"/>
  <c r="D7" i="1"/>
  <c r="O6" i="1"/>
  <c r="L6" i="1"/>
  <c r="J6" i="1"/>
  <c r="I6" i="1"/>
  <c r="H6" i="1"/>
  <c r="G6" i="1"/>
  <c r="D6" i="1"/>
  <c r="N1261" i="1" l="1"/>
  <c r="M1261" i="1"/>
  <c r="K1261" i="1"/>
  <c r="N1260" i="1"/>
  <c r="M1260" i="1"/>
  <c r="K1260" i="1"/>
  <c r="N1257" i="1"/>
  <c r="M1257" i="1"/>
  <c r="N1253" i="1"/>
  <c r="M1253" i="1"/>
  <c r="N1249" i="1"/>
  <c r="M1249" i="1"/>
  <c r="N1245" i="1"/>
  <c r="M1245" i="1"/>
  <c r="K1241" i="1"/>
  <c r="K1240" i="1"/>
  <c r="K1239" i="1"/>
  <c r="M1236" i="1"/>
  <c r="K1236" i="1"/>
  <c r="N1235" i="1"/>
  <c r="M1235" i="1"/>
  <c r="N1232" i="1"/>
  <c r="M1232" i="1"/>
  <c r="K1228" i="1"/>
  <c r="K1224" i="1"/>
  <c r="K1221" i="1"/>
  <c r="N1217" i="1"/>
  <c r="M1217" i="1"/>
  <c r="K1214" i="1"/>
  <c r="N1208" i="1"/>
  <c r="M1208" i="1"/>
  <c r="N1204" i="1"/>
  <c r="M1204" i="1"/>
  <c r="K1200" i="1"/>
  <c r="K1197" i="1"/>
  <c r="K1194" i="1"/>
  <c r="N1190" i="1"/>
  <c r="M1190" i="1"/>
  <c r="K1187" i="1"/>
  <c r="K1184" i="1"/>
  <c r="K1181" i="1"/>
  <c r="M1178" i="1"/>
  <c r="K1178" i="1"/>
  <c r="N1140" i="1"/>
  <c r="M1140" i="1"/>
  <c r="K1140" i="1"/>
  <c r="N1139" i="1"/>
  <c r="M1139" i="1"/>
  <c r="K1139" i="1"/>
  <c r="N1138" i="1"/>
  <c r="M1138" i="1"/>
  <c r="K1138" i="1"/>
  <c r="N1137" i="1"/>
  <c r="M1137" i="1"/>
  <c r="N1136" i="1"/>
  <c r="M1136" i="1"/>
  <c r="K1136" i="1"/>
  <c r="N1135" i="1"/>
  <c r="M1135" i="1"/>
  <c r="K1135" i="1"/>
  <c r="N1134" i="1"/>
  <c r="M1134" i="1"/>
  <c r="K1134" i="1"/>
  <c r="N1133" i="1"/>
  <c r="M1133" i="1"/>
  <c r="N1132" i="1"/>
  <c r="M1132" i="1"/>
  <c r="K1132" i="1"/>
  <c r="N1131" i="1"/>
  <c r="M1131" i="1"/>
  <c r="K1131" i="1"/>
  <c r="N1130" i="1"/>
  <c r="M1130" i="1"/>
  <c r="K1129" i="1"/>
  <c r="N1128" i="1"/>
  <c r="M1128" i="1"/>
  <c r="N1126" i="1"/>
  <c r="M1126" i="1"/>
  <c r="K1125" i="1"/>
  <c r="N1124" i="1"/>
  <c r="M1124" i="1"/>
  <c r="K1123" i="1"/>
  <c r="N1122" i="1"/>
  <c r="M1122" i="1"/>
  <c r="K1122" i="1"/>
  <c r="N1121" i="1"/>
  <c r="M1121" i="1"/>
  <c r="K1120" i="1"/>
  <c r="N1119" i="1"/>
  <c r="M1119" i="1"/>
  <c r="N1117" i="1"/>
  <c r="M1117" i="1"/>
  <c r="K1116" i="1"/>
  <c r="K1115" i="1"/>
  <c r="N1114" i="1"/>
  <c r="M1114" i="1"/>
  <c r="K1113" i="1"/>
  <c r="N1112" i="1"/>
  <c r="M1112" i="1"/>
  <c r="K1111" i="1"/>
  <c r="N1110" i="1"/>
  <c r="M1110" i="1"/>
  <c r="N1107" i="1"/>
  <c r="M1107" i="1"/>
  <c r="K1105" i="1"/>
  <c r="K1104" i="1"/>
  <c r="K1103" i="1"/>
  <c r="N1102" i="1"/>
  <c r="M1102" i="1"/>
  <c r="K1100" i="1"/>
  <c r="N1099" i="1"/>
  <c r="M1099" i="1"/>
  <c r="K1097" i="1"/>
  <c r="N1096" i="1"/>
  <c r="M1096" i="1"/>
  <c r="K1094" i="1"/>
  <c r="N1093" i="1"/>
  <c r="M1093" i="1"/>
  <c r="N1090" i="1"/>
  <c r="M1090" i="1"/>
  <c r="K1090" i="1"/>
  <c r="N1089" i="1"/>
  <c r="M1089" i="1"/>
  <c r="K1083" i="1"/>
  <c r="N1082" i="1"/>
  <c r="M1082" i="1"/>
  <c r="K1078" i="1"/>
  <c r="M1077" i="1"/>
  <c r="K1073" i="1"/>
  <c r="N1072" i="1"/>
  <c r="M1072" i="1"/>
  <c r="K1068" i="1"/>
  <c r="N1067" i="1"/>
  <c r="M1067" i="1"/>
  <c r="K1063" i="1"/>
  <c r="K1062" i="1"/>
  <c r="N1061" i="1"/>
  <c r="M1061" i="1"/>
  <c r="K1035" i="1"/>
  <c r="N1034" i="1"/>
  <c r="M1034" i="1"/>
  <c r="K1029" i="1"/>
  <c r="N1028" i="1"/>
  <c r="M1028" i="1"/>
  <c r="K1023" i="1"/>
  <c r="K1022" i="1"/>
  <c r="N1021" i="1"/>
  <c r="M1021" i="1"/>
  <c r="K1016" i="1"/>
  <c r="N1015" i="1"/>
  <c r="M1015" i="1"/>
  <c r="K1010" i="1"/>
  <c r="N1009" i="1"/>
  <c r="M1009" i="1"/>
  <c r="K1004" i="1"/>
  <c r="K1003" i="1"/>
  <c r="N1002" i="1"/>
  <c r="M1002" i="1"/>
  <c r="K997" i="1"/>
  <c r="N996" i="1"/>
  <c r="M996" i="1"/>
  <c r="N990" i="1"/>
  <c r="M990" i="1"/>
  <c r="K985" i="1"/>
  <c r="K984" i="1"/>
  <c r="N983" i="1"/>
  <c r="M983" i="1"/>
  <c r="K978" i="1"/>
  <c r="N977" i="1"/>
  <c r="M977" i="1"/>
  <c r="K972" i="1"/>
  <c r="N971" i="1"/>
  <c r="M971" i="1"/>
  <c r="M966" i="1"/>
  <c r="K966" i="1"/>
  <c r="K965" i="1"/>
  <c r="N964" i="1"/>
  <c r="M964" i="1"/>
  <c r="K961" i="1"/>
  <c r="N960" i="1"/>
  <c r="M960" i="1"/>
  <c r="K955" i="1"/>
  <c r="N954" i="1"/>
  <c r="M954" i="1"/>
  <c r="K949" i="1"/>
  <c r="N948" i="1"/>
  <c r="M948" i="1"/>
  <c r="K943" i="1"/>
  <c r="N942" i="1"/>
  <c r="M942" i="1"/>
  <c r="K938" i="1"/>
  <c r="N937" i="1"/>
  <c r="M937" i="1"/>
  <c r="K932" i="1"/>
  <c r="N931" i="1"/>
  <c r="M931" i="1"/>
  <c r="K926" i="1"/>
  <c r="N925" i="1"/>
  <c r="M925" i="1"/>
  <c r="K920" i="1"/>
  <c r="N919" i="1"/>
  <c r="M919" i="1"/>
  <c r="K914" i="1"/>
  <c r="N913" i="1"/>
  <c r="M913" i="1"/>
  <c r="K908" i="1"/>
  <c r="N907" i="1"/>
  <c r="M907" i="1"/>
  <c r="K902" i="1"/>
  <c r="N901" i="1"/>
  <c r="M901" i="1"/>
  <c r="K896" i="1"/>
  <c r="N895" i="1"/>
  <c r="M895" i="1"/>
  <c r="N890" i="1"/>
  <c r="M890" i="1"/>
  <c r="K886" i="1"/>
  <c r="K885" i="1"/>
  <c r="N884" i="1"/>
  <c r="M884" i="1"/>
  <c r="K879" i="1"/>
  <c r="K878" i="1"/>
  <c r="K877" i="1"/>
  <c r="N876" i="1"/>
  <c r="M876" i="1"/>
  <c r="K870" i="1"/>
  <c r="N869" i="1"/>
  <c r="M869" i="1"/>
  <c r="K864" i="1"/>
  <c r="N863" i="1"/>
  <c r="M863" i="1"/>
  <c r="K858" i="1"/>
  <c r="N857" i="1"/>
  <c r="M857" i="1"/>
  <c r="K852" i="1"/>
  <c r="N851" i="1"/>
  <c r="M851" i="1"/>
  <c r="K848" i="1"/>
  <c r="N846" i="1"/>
  <c r="M846" i="1"/>
  <c r="N844" i="1"/>
  <c r="M844" i="1"/>
  <c r="K839" i="1"/>
  <c r="N838" i="1"/>
  <c r="M838" i="1"/>
  <c r="K833" i="1"/>
  <c r="N832" i="1"/>
  <c r="M832" i="1"/>
  <c r="K827" i="1"/>
  <c r="N826" i="1"/>
  <c r="M826" i="1"/>
  <c r="K821" i="1"/>
  <c r="N820" i="1"/>
  <c r="M820" i="1"/>
  <c r="K815" i="1"/>
  <c r="N814" i="1"/>
  <c r="K809" i="1"/>
  <c r="K808" i="1"/>
  <c r="K807" i="1"/>
  <c r="N806" i="1"/>
  <c r="M806" i="1"/>
  <c r="N801" i="1"/>
  <c r="M801" i="1"/>
  <c r="K797" i="1"/>
  <c r="N796" i="1"/>
  <c r="M796" i="1"/>
  <c r="K791" i="1"/>
  <c r="N790" i="1"/>
  <c r="M790" i="1"/>
  <c r="K785" i="1"/>
  <c r="N784" i="1"/>
  <c r="M784" i="1"/>
  <c r="K779" i="1"/>
  <c r="N778" i="1"/>
  <c r="M778" i="1"/>
  <c r="K773" i="1"/>
  <c r="N772" i="1"/>
  <c r="M772" i="1"/>
  <c r="K767" i="1"/>
  <c r="N766" i="1"/>
  <c r="M766" i="1"/>
  <c r="K761" i="1"/>
  <c r="N760" i="1"/>
  <c r="M760" i="1"/>
  <c r="K755" i="1"/>
  <c r="N754" i="1"/>
  <c r="M754" i="1"/>
  <c r="K749" i="1"/>
  <c r="N748" i="1"/>
  <c r="M748" i="1"/>
  <c r="K741" i="1"/>
  <c r="K740" i="1"/>
  <c r="N738" i="1"/>
  <c r="M738" i="1"/>
  <c r="N732" i="1"/>
  <c r="M732" i="1"/>
  <c r="K724" i="1"/>
  <c r="N723" i="1"/>
  <c r="M723" i="1"/>
  <c r="K718" i="1"/>
  <c r="N717" i="1"/>
  <c r="M717" i="1"/>
  <c r="N711" i="1"/>
  <c r="M711" i="1"/>
  <c r="N705" i="1"/>
  <c r="M705" i="1"/>
  <c r="K705" i="1"/>
  <c r="K704" i="1"/>
  <c r="K703" i="1"/>
  <c r="N702" i="1"/>
  <c r="M702" i="1"/>
  <c r="K696" i="1"/>
  <c r="N695" i="1"/>
  <c r="M695" i="1"/>
  <c r="N675" i="1"/>
  <c r="M675" i="1"/>
  <c r="K669" i="1"/>
  <c r="K662" i="1"/>
  <c r="K661" i="1"/>
  <c r="N660" i="1"/>
  <c r="M660" i="1"/>
  <c r="N654" i="1"/>
  <c r="M654" i="1"/>
  <c r="K648" i="1"/>
  <c r="N647" i="1"/>
  <c r="M647" i="1"/>
  <c r="K640" i="1"/>
  <c r="N639" i="1"/>
  <c r="M639" i="1"/>
  <c r="K633" i="1"/>
  <c r="N632" i="1"/>
  <c r="M632" i="1"/>
  <c r="N626" i="1"/>
  <c r="M626" i="1"/>
  <c r="K620" i="1"/>
  <c r="K619" i="1"/>
  <c r="N618" i="1"/>
  <c r="M618" i="1"/>
  <c r="K609" i="1"/>
  <c r="N608" i="1"/>
  <c r="M608" i="1"/>
  <c r="K602" i="1"/>
  <c r="N601" i="1"/>
  <c r="M601" i="1"/>
  <c r="K595" i="1"/>
  <c r="N594" i="1"/>
  <c r="M594" i="1"/>
  <c r="K588" i="1"/>
  <c r="N587" i="1"/>
  <c r="M587" i="1"/>
  <c r="K581" i="1"/>
  <c r="N580" i="1"/>
  <c r="M580" i="1"/>
  <c r="K574" i="1"/>
  <c r="N573" i="1"/>
  <c r="M573" i="1"/>
  <c r="K567" i="1"/>
  <c r="N566" i="1"/>
  <c r="M566" i="1"/>
  <c r="K560" i="1"/>
  <c r="N559" i="1"/>
  <c r="M559" i="1"/>
  <c r="K555" i="1"/>
  <c r="K553" i="1"/>
  <c r="N552" i="1"/>
  <c r="M552" i="1"/>
  <c r="K547" i="1"/>
  <c r="N546" i="1"/>
  <c r="M546" i="1"/>
  <c r="K540" i="1"/>
  <c r="N539" i="1"/>
  <c r="M539" i="1"/>
  <c r="K533" i="1"/>
  <c r="N532" i="1"/>
  <c r="M532" i="1"/>
  <c r="K528" i="1"/>
  <c r="K527" i="1"/>
  <c r="N526" i="1"/>
  <c r="M526" i="1"/>
  <c r="N520" i="1"/>
  <c r="K513" i="1"/>
  <c r="N512" i="1"/>
  <c r="M512" i="1"/>
  <c r="K487" i="1"/>
  <c r="K486" i="1"/>
  <c r="K485" i="1"/>
  <c r="N484" i="1"/>
  <c r="M484" i="1"/>
  <c r="N477" i="1"/>
  <c r="M477" i="1"/>
  <c r="N470" i="1"/>
  <c r="M470" i="1"/>
  <c r="K463" i="1"/>
  <c r="N462" i="1"/>
  <c r="M462" i="1"/>
  <c r="K455" i="1"/>
  <c r="K454" i="1"/>
  <c r="N453" i="1"/>
  <c r="M453" i="1"/>
  <c r="N446" i="1"/>
  <c r="M446" i="1"/>
  <c r="K439" i="1"/>
  <c r="K438" i="1"/>
  <c r="N437" i="1"/>
  <c r="M437" i="1"/>
  <c r="K428" i="1"/>
  <c r="N427" i="1"/>
  <c r="M427" i="1"/>
  <c r="K420" i="1"/>
  <c r="N419" i="1"/>
  <c r="M419" i="1"/>
  <c r="K412" i="1"/>
  <c r="N411" i="1"/>
  <c r="M411" i="1"/>
  <c r="K404" i="1"/>
  <c r="N403" i="1"/>
  <c r="M403" i="1"/>
  <c r="K396" i="1"/>
  <c r="N395" i="1"/>
  <c r="M395" i="1"/>
  <c r="K388" i="1"/>
  <c r="N387" i="1"/>
  <c r="M387" i="1"/>
  <c r="K380" i="1"/>
  <c r="N379" i="1"/>
  <c r="M379" i="1"/>
  <c r="K372" i="1"/>
  <c r="N371" i="1"/>
  <c r="M371" i="1"/>
  <c r="K364" i="1"/>
  <c r="N362" i="1"/>
  <c r="M362" i="1"/>
  <c r="K355" i="1"/>
  <c r="K354" i="1"/>
  <c r="K353" i="1"/>
  <c r="K352" i="1"/>
  <c r="K351" i="1"/>
  <c r="N350" i="1"/>
  <c r="M350" i="1"/>
  <c r="M343" i="1"/>
  <c r="K343" i="1"/>
  <c r="N342" i="1"/>
  <c r="M342" i="1"/>
  <c r="N335" i="1"/>
  <c r="M335" i="1"/>
  <c r="K325" i="1"/>
  <c r="N324" i="1"/>
  <c r="M324" i="1"/>
  <c r="K317" i="1"/>
  <c r="N316" i="1"/>
  <c r="M316" i="1"/>
  <c r="K309" i="1"/>
  <c r="N308" i="1"/>
  <c r="M308" i="1"/>
  <c r="K301" i="1"/>
  <c r="N300" i="1"/>
  <c r="M300" i="1"/>
  <c r="K294" i="1"/>
  <c r="N293" i="1"/>
  <c r="M293" i="1"/>
  <c r="N288" i="1"/>
  <c r="M288" i="1"/>
  <c r="N283" i="1"/>
  <c r="M283" i="1"/>
  <c r="K283" i="1"/>
  <c r="N282" i="1"/>
  <c r="M282" i="1"/>
  <c r="K276" i="1"/>
  <c r="K275" i="1"/>
  <c r="N274" i="1"/>
  <c r="M274" i="1"/>
  <c r="K267" i="1"/>
  <c r="N266" i="1"/>
  <c r="M266" i="1"/>
  <c r="K259" i="1"/>
  <c r="N258" i="1"/>
  <c r="M258" i="1"/>
  <c r="K251" i="1"/>
  <c r="N250" i="1"/>
  <c r="M250" i="1"/>
  <c r="K244" i="1"/>
  <c r="N243" i="1"/>
  <c r="M243" i="1"/>
  <c r="K236" i="1"/>
  <c r="N235" i="1"/>
  <c r="M235" i="1"/>
  <c r="K229" i="1"/>
  <c r="N228" i="1"/>
  <c r="M228" i="1"/>
  <c r="K221" i="1"/>
  <c r="N220" i="1"/>
  <c r="M220" i="1"/>
  <c r="K213" i="1"/>
  <c r="N212" i="1"/>
  <c r="M212" i="1"/>
  <c r="K205" i="1"/>
  <c r="N204" i="1"/>
  <c r="M204" i="1"/>
  <c r="K197" i="1"/>
  <c r="N196" i="1"/>
  <c r="M196" i="1"/>
  <c r="K189" i="1"/>
  <c r="N188" i="1"/>
  <c r="M188" i="1"/>
  <c r="K181" i="1"/>
  <c r="N180" i="1"/>
  <c r="M180" i="1"/>
  <c r="N172" i="1"/>
  <c r="M172" i="1"/>
  <c r="K165" i="1"/>
  <c r="K164" i="1"/>
  <c r="N163" i="1"/>
  <c r="M163" i="1"/>
  <c r="K156" i="1"/>
  <c r="K155" i="1"/>
  <c r="N154" i="1"/>
  <c r="M154" i="1"/>
  <c r="K147" i="1"/>
  <c r="N146" i="1"/>
  <c r="M146" i="1"/>
  <c r="K139" i="1"/>
  <c r="N138" i="1"/>
  <c r="M138" i="1"/>
  <c r="K131" i="1"/>
  <c r="N130" i="1"/>
  <c r="M130" i="1"/>
  <c r="K121" i="1"/>
  <c r="K120" i="1"/>
  <c r="K119" i="1"/>
  <c r="N118" i="1"/>
  <c r="M118" i="1"/>
  <c r="N111" i="1"/>
  <c r="M111" i="1"/>
  <c r="K104" i="1"/>
  <c r="K103" i="1"/>
  <c r="N102" i="1"/>
  <c r="M102" i="1"/>
  <c r="K95" i="1"/>
  <c r="N94" i="1"/>
  <c r="M94" i="1"/>
  <c r="K87" i="1"/>
  <c r="N86" i="1"/>
  <c r="M86" i="1"/>
  <c r="K82" i="1"/>
  <c r="N81" i="1"/>
  <c r="M81" i="1"/>
  <c r="K75" i="1"/>
  <c r="N74" i="1"/>
  <c r="M74" i="1"/>
  <c r="K67" i="1"/>
  <c r="N66" i="1"/>
  <c r="M66" i="1"/>
  <c r="K59" i="1"/>
  <c r="N58" i="1"/>
  <c r="M58" i="1"/>
  <c r="K51" i="1"/>
  <c r="N50" i="1"/>
  <c r="M50" i="1"/>
  <c r="K43" i="1"/>
  <c r="N42" i="1"/>
  <c r="M42" i="1"/>
  <c r="M35" i="1"/>
  <c r="K35" i="1"/>
  <c r="N34" i="1"/>
  <c r="M34" i="1"/>
  <c r="N27" i="1"/>
  <c r="K20" i="1"/>
  <c r="N19" i="1"/>
  <c r="M19" i="1"/>
  <c r="K12" i="1"/>
  <c r="N11" i="1"/>
  <c r="M11" i="1"/>
  <c r="N1255" i="1"/>
  <c r="M1255" i="1"/>
  <c r="N1251" i="1"/>
  <c r="M1251" i="1"/>
  <c r="K1247" i="1"/>
  <c r="N1243" i="1"/>
  <c r="M1243" i="1"/>
  <c r="N1238" i="1"/>
  <c r="K1226" i="1"/>
  <c r="K1223" i="1"/>
  <c r="K1220" i="1"/>
  <c r="N1219" i="1"/>
  <c r="M1219" i="1"/>
  <c r="K1216" i="1"/>
  <c r="K1215" i="1"/>
  <c r="N1212" i="1"/>
  <c r="M1212" i="1"/>
  <c r="N1209" i="1"/>
  <c r="M1209" i="1"/>
  <c r="N1205" i="1"/>
  <c r="M1205" i="1"/>
  <c r="N1201" i="1"/>
  <c r="M1201" i="1"/>
  <c r="N1197" i="1"/>
  <c r="M1197" i="1"/>
  <c r="K1191" i="1"/>
  <c r="K1188" i="1"/>
  <c r="K1185" i="1"/>
  <c r="K1183" i="1"/>
  <c r="N1179" i="1"/>
  <c r="M1179" i="1"/>
  <c r="K1174" i="1"/>
  <c r="K1172" i="1"/>
  <c r="N1170" i="1"/>
  <c r="M1170" i="1"/>
  <c r="N1166" i="1"/>
  <c r="M1166" i="1"/>
  <c r="K1163" i="1"/>
  <c r="N1161" i="1"/>
  <c r="M1161" i="1"/>
  <c r="N1158" i="1"/>
  <c r="M1158" i="1"/>
  <c r="K1156" i="1"/>
  <c r="N1154" i="1"/>
  <c r="M1154" i="1"/>
  <c r="K1153" i="1"/>
  <c r="K1061" i="1"/>
  <c r="N1060" i="1"/>
  <c r="M1060" i="1"/>
  <c r="K1056" i="1"/>
  <c r="N1055" i="1"/>
  <c r="M1055" i="1"/>
  <c r="K1055" i="1"/>
  <c r="N1054" i="1"/>
  <c r="M1054" i="1"/>
  <c r="N1050" i="1"/>
  <c r="M1050" i="1"/>
  <c r="N1046" i="1"/>
  <c r="M1046" i="1"/>
  <c r="K1042" i="1"/>
  <c r="K1041" i="1"/>
  <c r="N1040" i="1"/>
  <c r="M1040" i="1"/>
  <c r="K1031" i="1"/>
  <c r="K1030" i="1"/>
  <c r="N1029" i="1"/>
  <c r="M1029" i="1"/>
  <c r="N1024" i="1"/>
  <c r="M1024" i="1"/>
  <c r="K1019" i="1"/>
  <c r="N1018" i="1"/>
  <c r="M1018" i="1"/>
  <c r="K1013" i="1"/>
  <c r="N1012" i="1"/>
  <c r="M1012" i="1"/>
  <c r="K1007" i="1"/>
  <c r="N1006" i="1"/>
  <c r="M1006" i="1"/>
  <c r="K1001" i="1"/>
  <c r="N1000" i="1"/>
  <c r="M1000" i="1"/>
  <c r="K995" i="1"/>
  <c r="N994" i="1"/>
  <c r="M994" i="1"/>
  <c r="K989" i="1"/>
  <c r="M988" i="1"/>
  <c r="K988" i="1"/>
  <c r="N987" i="1"/>
  <c r="M987" i="1"/>
  <c r="N982" i="1"/>
  <c r="M982" i="1"/>
  <c r="K977" i="1"/>
  <c r="N976" i="1"/>
  <c r="M976" i="1"/>
  <c r="K971" i="1"/>
  <c r="N970" i="1"/>
  <c r="M970" i="1"/>
  <c r="K962" i="1"/>
  <c r="K959" i="1"/>
  <c r="N958" i="1"/>
  <c r="M958" i="1"/>
  <c r="K953" i="1"/>
  <c r="N952" i="1"/>
  <c r="M952" i="1"/>
  <c r="K947" i="1"/>
  <c r="N946" i="1"/>
  <c r="M946" i="1"/>
  <c r="K941" i="1"/>
  <c r="K940" i="1"/>
  <c r="K935" i="1"/>
  <c r="N934" i="1"/>
  <c r="M934" i="1"/>
  <c r="N929" i="1"/>
  <c r="M929" i="1"/>
  <c r="K929" i="1"/>
  <c r="N928" i="1"/>
  <c r="M928" i="1"/>
  <c r="K923" i="1"/>
  <c r="K922" i="1"/>
  <c r="N921" i="1"/>
  <c r="M921" i="1"/>
  <c r="K916" i="1"/>
  <c r="N915" i="1"/>
  <c r="M915" i="1"/>
  <c r="K910" i="1"/>
  <c r="N909" i="1"/>
  <c r="M909" i="1"/>
  <c r="K904" i="1"/>
  <c r="N903" i="1"/>
  <c r="M903" i="1"/>
  <c r="K898" i="1"/>
  <c r="N897" i="1"/>
  <c r="M897" i="1"/>
  <c r="K893" i="1"/>
  <c r="K892" i="1"/>
  <c r="N891" i="1"/>
  <c r="M891" i="1"/>
  <c r="K887" i="1"/>
  <c r="N886" i="1"/>
  <c r="M886" i="1"/>
  <c r="K881" i="1"/>
  <c r="N880" i="1"/>
  <c r="M880" i="1"/>
  <c r="M873" i="1"/>
  <c r="K873" i="1"/>
  <c r="K872" i="1"/>
  <c r="N871" i="1"/>
  <c r="M871" i="1"/>
  <c r="N866" i="1"/>
  <c r="M866" i="1"/>
  <c r="N861" i="1"/>
  <c r="K861" i="1"/>
  <c r="K860" i="1"/>
  <c r="N859" i="1"/>
  <c r="M859" i="1"/>
  <c r="N854" i="1"/>
  <c r="M854" i="1"/>
  <c r="K849" i="1"/>
  <c r="N847" i="1"/>
  <c r="M847" i="1"/>
  <c r="K841" i="1"/>
  <c r="K835" i="1"/>
  <c r="N834" i="1"/>
  <c r="K829" i="1"/>
  <c r="N828" i="1"/>
  <c r="M828" i="1"/>
  <c r="K823" i="1"/>
  <c r="N822" i="1"/>
  <c r="M822" i="1"/>
  <c r="N817" i="1"/>
  <c r="M817" i="1"/>
  <c r="K812" i="1"/>
  <c r="N811" i="1"/>
  <c r="M811" i="1"/>
  <c r="K806" i="1"/>
  <c r="N805" i="1"/>
  <c r="M805" i="1"/>
  <c r="K800" i="1"/>
  <c r="N799" i="1"/>
  <c r="M799" i="1"/>
  <c r="K794" i="1"/>
  <c r="N793" i="1"/>
  <c r="M793" i="1"/>
  <c r="K788" i="1"/>
  <c r="N787" i="1"/>
  <c r="M787" i="1"/>
  <c r="M782" i="1"/>
  <c r="K782" i="1"/>
  <c r="N781" i="1"/>
  <c r="M781" i="1"/>
  <c r="N776" i="1"/>
  <c r="M776" i="1"/>
  <c r="K766" i="1"/>
  <c r="N765" i="1"/>
  <c r="M765" i="1"/>
  <c r="K760" i="1"/>
  <c r="N759" i="1"/>
  <c r="M759" i="1"/>
  <c r="K754" i="1"/>
  <c r="K753" i="1"/>
  <c r="N752" i="1"/>
  <c r="M752" i="1"/>
  <c r="K752" i="1"/>
  <c r="K751" i="1"/>
  <c r="N750" i="1"/>
  <c r="M750" i="1"/>
  <c r="N745" i="1"/>
  <c r="M745" i="1"/>
  <c r="N740" i="1"/>
  <c r="M740" i="1"/>
  <c r="K734" i="1"/>
  <c r="N733" i="1"/>
  <c r="K728" i="1"/>
  <c r="N727" i="1"/>
  <c r="M727" i="1"/>
  <c r="K721" i="1"/>
  <c r="K720" i="1"/>
  <c r="N719" i="1"/>
  <c r="M719" i="1"/>
  <c r="K713" i="1"/>
  <c r="K712" i="1"/>
  <c r="K711" i="1"/>
  <c r="K710" i="1"/>
  <c r="K709" i="1"/>
  <c r="N708" i="1"/>
  <c r="M708" i="1"/>
  <c r="K702" i="1"/>
  <c r="N701" i="1"/>
  <c r="M701" i="1"/>
  <c r="K695" i="1"/>
  <c r="N694" i="1"/>
  <c r="M694" i="1"/>
  <c r="K691" i="1"/>
  <c r="K690" i="1"/>
  <c r="K689" i="1"/>
  <c r="N688" i="1"/>
  <c r="M688" i="1"/>
  <c r="N683" i="1"/>
  <c r="M683" i="1"/>
  <c r="N676" i="1"/>
  <c r="M676" i="1"/>
  <c r="N670" i="1"/>
  <c r="M670" i="1"/>
  <c r="K664" i="1"/>
  <c r="N663" i="1"/>
  <c r="M663" i="1"/>
  <c r="N657" i="1"/>
  <c r="M657" i="1"/>
  <c r="K651" i="1"/>
  <c r="K650" i="1"/>
  <c r="N649" i="1"/>
  <c r="M649" i="1"/>
  <c r="K643" i="1"/>
  <c r="N642" i="1"/>
  <c r="K637" i="1"/>
  <c r="N636" i="1"/>
  <c r="M636" i="1"/>
  <c r="K636" i="1"/>
  <c r="N635" i="1"/>
  <c r="M635" i="1"/>
  <c r="K629" i="1"/>
  <c r="N628" i="1"/>
  <c r="M628" i="1"/>
  <c r="K622" i="1"/>
  <c r="N621" i="1"/>
  <c r="M621" i="1"/>
  <c r="K615" i="1"/>
  <c r="N614" i="1"/>
  <c r="M614" i="1"/>
  <c r="K608" i="1"/>
  <c r="N607" i="1"/>
  <c r="M607" i="1"/>
  <c r="K601" i="1"/>
  <c r="N600" i="1"/>
  <c r="M600" i="1"/>
  <c r="K594" i="1"/>
  <c r="N593" i="1"/>
  <c r="M593" i="1"/>
  <c r="K587" i="1"/>
  <c r="N586" i="1"/>
  <c r="M586" i="1"/>
  <c r="K580" i="1"/>
  <c r="N579" i="1"/>
  <c r="M579" i="1"/>
  <c r="K573" i="1"/>
  <c r="N572" i="1"/>
  <c r="M572" i="1"/>
  <c r="K566" i="1"/>
  <c r="N565" i="1"/>
  <c r="M565" i="1"/>
  <c r="K559" i="1"/>
  <c r="N558" i="1"/>
  <c r="M558" i="1"/>
  <c r="N554" i="1"/>
  <c r="M554" i="1"/>
  <c r="K548" i="1"/>
  <c r="K541" i="1"/>
  <c r="N540" i="1"/>
  <c r="M540" i="1"/>
  <c r="K534" i="1"/>
  <c r="N533" i="1"/>
  <c r="M533" i="1"/>
  <c r="K526" i="1"/>
  <c r="N525" i="1"/>
  <c r="M525" i="1"/>
  <c r="N518" i="1"/>
  <c r="M518" i="1"/>
  <c r="K511" i="1"/>
  <c r="K510" i="1"/>
  <c r="N509" i="1"/>
  <c r="M509" i="1"/>
  <c r="N503" i="1"/>
  <c r="M503" i="1"/>
  <c r="K497" i="1"/>
  <c r="N496" i="1"/>
  <c r="M496" i="1"/>
  <c r="K490" i="1"/>
  <c r="N489" i="1"/>
  <c r="M489" i="1"/>
  <c r="K482" i="1"/>
  <c r="N481" i="1"/>
  <c r="M481" i="1"/>
  <c r="K474" i="1"/>
  <c r="N473" i="1"/>
  <c r="M473" i="1"/>
  <c r="K466" i="1"/>
  <c r="N465" i="1"/>
  <c r="M465" i="1"/>
  <c r="N458" i="1"/>
  <c r="M458" i="1"/>
  <c r="K451" i="1"/>
  <c r="N450" i="1"/>
  <c r="M450" i="1"/>
  <c r="K443" i="1"/>
  <c r="N442" i="1"/>
  <c r="M442" i="1"/>
  <c r="K435" i="1"/>
  <c r="N434" i="1"/>
  <c r="M434" i="1"/>
  <c r="N426" i="1"/>
  <c r="M426" i="1"/>
  <c r="K419" i="1"/>
  <c r="N418" i="1"/>
  <c r="M418" i="1"/>
  <c r="K411" i="1"/>
  <c r="N410" i="1"/>
  <c r="M410" i="1"/>
  <c r="K403" i="1"/>
  <c r="N402" i="1"/>
  <c r="M402" i="1"/>
  <c r="K395" i="1"/>
  <c r="N394" i="1"/>
  <c r="M394" i="1"/>
  <c r="K387" i="1"/>
  <c r="N386" i="1"/>
  <c r="M386" i="1"/>
  <c r="K379" i="1"/>
  <c r="N378" i="1"/>
  <c r="M378" i="1"/>
  <c r="K371" i="1"/>
  <c r="N370" i="1"/>
  <c r="M370" i="1"/>
  <c r="N363" i="1"/>
  <c r="M363" i="1"/>
  <c r="K356" i="1"/>
  <c r="N355" i="1"/>
  <c r="M355" i="1"/>
  <c r="K348" i="1"/>
  <c r="N347" i="1"/>
  <c r="M347" i="1"/>
  <c r="K340" i="1"/>
  <c r="N339" i="1"/>
  <c r="M339" i="1"/>
  <c r="K332" i="1"/>
  <c r="N331" i="1"/>
  <c r="M331" i="1"/>
  <c r="K323" i="1"/>
  <c r="N322" i="1"/>
  <c r="M322" i="1"/>
  <c r="K315" i="1"/>
  <c r="N314" i="1"/>
  <c r="M314" i="1"/>
  <c r="K307" i="1"/>
  <c r="N306" i="1"/>
  <c r="M306" i="1"/>
  <c r="K299" i="1"/>
  <c r="N298" i="1"/>
  <c r="M298" i="1"/>
  <c r="K292" i="1"/>
  <c r="N291" i="1"/>
  <c r="M291" i="1"/>
  <c r="K285" i="1"/>
  <c r="N284" i="1"/>
  <c r="M284" i="1"/>
  <c r="N277" i="1"/>
  <c r="M277" i="1"/>
  <c r="K270" i="1"/>
  <c r="N269" i="1"/>
  <c r="M269" i="1"/>
  <c r="K262" i="1"/>
  <c r="N261" i="1"/>
  <c r="M261" i="1"/>
  <c r="K254" i="1"/>
  <c r="N253" i="1"/>
  <c r="M253" i="1"/>
  <c r="K246" i="1"/>
  <c r="N245" i="1"/>
  <c r="M245" i="1"/>
  <c r="K238" i="1"/>
  <c r="N237" i="1"/>
  <c r="M237" i="1"/>
  <c r="K230" i="1"/>
  <c r="N229" i="1"/>
  <c r="M229" i="1"/>
  <c r="K222" i="1"/>
  <c r="N221" i="1"/>
  <c r="M221" i="1"/>
  <c r="K214" i="1"/>
  <c r="N213" i="1"/>
  <c r="M213" i="1"/>
  <c r="N206" i="1"/>
  <c r="M206" i="1"/>
  <c r="K199" i="1"/>
  <c r="N198" i="1"/>
  <c r="M198" i="1"/>
  <c r="K191" i="1"/>
  <c r="N190" i="1"/>
  <c r="M190" i="1"/>
  <c r="K183" i="1"/>
  <c r="N182" i="1"/>
  <c r="M182" i="1"/>
  <c r="K175" i="1"/>
  <c r="N174" i="1"/>
  <c r="M174" i="1"/>
  <c r="K168" i="1"/>
  <c r="N167" i="1"/>
  <c r="M167" i="1"/>
  <c r="K160" i="1"/>
  <c r="N159" i="1"/>
  <c r="M159" i="1"/>
  <c r="K152" i="1"/>
  <c r="N151" i="1"/>
  <c r="M151" i="1"/>
  <c r="K144" i="1"/>
  <c r="N143" i="1"/>
  <c r="M143" i="1"/>
  <c r="K136" i="1"/>
  <c r="N135" i="1"/>
  <c r="M135" i="1"/>
  <c r="K128" i="1"/>
  <c r="N127" i="1"/>
  <c r="M127" i="1"/>
  <c r="N120" i="1"/>
  <c r="M120" i="1"/>
  <c r="K113" i="1"/>
  <c r="K112" i="1"/>
  <c r="K111" i="1"/>
  <c r="N110" i="1"/>
  <c r="M110" i="1"/>
  <c r="N103" i="1"/>
  <c r="M103" i="1"/>
  <c r="N96" i="1"/>
  <c r="M96" i="1"/>
  <c r="K89" i="1"/>
  <c r="K88" i="1"/>
  <c r="N87" i="1"/>
  <c r="M87" i="1"/>
  <c r="N80" i="1"/>
  <c r="M80" i="1"/>
  <c r="K74" i="1"/>
  <c r="N73" i="1"/>
  <c r="M73" i="1"/>
  <c r="K66" i="1"/>
  <c r="K65" i="1"/>
  <c r="N64" i="1"/>
  <c r="M64" i="1"/>
  <c r="K57" i="1"/>
  <c r="N56" i="1"/>
  <c r="M56" i="1"/>
  <c r="K49" i="1"/>
  <c r="N48" i="1"/>
  <c r="M48" i="1"/>
  <c r="K34" i="1"/>
  <c r="K33" i="1"/>
  <c r="N32" i="1"/>
  <c r="M32" i="1"/>
  <c r="K25" i="1"/>
  <c r="N24" i="1"/>
  <c r="M24" i="1"/>
  <c r="N17" i="1"/>
  <c r="K10" i="1"/>
  <c r="N9" i="1"/>
  <c r="M9" i="1"/>
  <c r="K9" i="1"/>
  <c r="N8" i="1"/>
  <c r="M8" i="1"/>
  <c r="K1256" i="1"/>
  <c r="N1252" i="1"/>
  <c r="M1252" i="1"/>
  <c r="K1248" i="1"/>
  <c r="N1244" i="1"/>
  <c r="M1244" i="1"/>
  <c r="K1150" i="1"/>
  <c r="N1148" i="1"/>
  <c r="M1148" i="1"/>
  <c r="K1148" i="1"/>
  <c r="K1147" i="1"/>
  <c r="N1145" i="1"/>
  <c r="M1145" i="1"/>
  <c r="N1144" i="1"/>
  <c r="M1144" i="1"/>
  <c r="K1144" i="1"/>
  <c r="N1143" i="1"/>
  <c r="M1143" i="1"/>
  <c r="K1143" i="1"/>
  <c r="N1142" i="1"/>
  <c r="M1142" i="1"/>
  <c r="K1142" i="1"/>
  <c r="N1141" i="1"/>
  <c r="M1141" i="1"/>
  <c r="K1141" i="1"/>
  <c r="K1137" i="1"/>
  <c r="K1133" i="1"/>
  <c r="K1127" i="1"/>
  <c r="K1126" i="1"/>
  <c r="K1118" i="1"/>
  <c r="K1112" i="1"/>
  <c r="K1099" i="1"/>
  <c r="K1088" i="1"/>
  <c r="N519" i="1"/>
  <c r="K519" i="1"/>
  <c r="K518" i="1"/>
  <c r="N517" i="1"/>
  <c r="M517" i="1"/>
  <c r="N510" i="1"/>
  <c r="M510" i="1"/>
  <c r="K504" i="1"/>
  <c r="K503" i="1"/>
  <c r="N502" i="1"/>
  <c r="M502" i="1"/>
  <c r="K496" i="1"/>
  <c r="N495" i="1"/>
  <c r="M495" i="1"/>
  <c r="K489" i="1"/>
  <c r="K488" i="1"/>
  <c r="N487" i="1"/>
  <c r="M487" i="1"/>
  <c r="N480" i="1"/>
  <c r="M480" i="1"/>
  <c r="K473" i="1"/>
  <c r="N472" i="1"/>
  <c r="M472" i="1"/>
  <c r="K465" i="1"/>
  <c r="K464" i="1"/>
  <c r="N463" i="1"/>
  <c r="M463" i="1"/>
  <c r="N456" i="1"/>
  <c r="M456" i="1"/>
  <c r="K449" i="1"/>
  <c r="N448" i="1"/>
  <c r="M448" i="1"/>
  <c r="K441" i="1"/>
  <c r="K440" i="1"/>
  <c r="N439" i="1"/>
  <c r="M439" i="1"/>
  <c r="N432" i="1"/>
  <c r="M432" i="1"/>
  <c r="K425" i="1"/>
  <c r="N424" i="1"/>
  <c r="M424" i="1"/>
  <c r="K417" i="1"/>
  <c r="K409" i="1"/>
  <c r="N408" i="1"/>
  <c r="M408" i="1"/>
  <c r="K408" i="1"/>
  <c r="N407" i="1"/>
  <c r="M407" i="1"/>
  <c r="K407" i="1"/>
  <c r="N406" i="1"/>
  <c r="M406" i="1"/>
  <c r="N399" i="1"/>
  <c r="M399" i="1"/>
  <c r="M392" i="1"/>
  <c r="K392" i="1"/>
  <c r="N391" i="1"/>
  <c r="M391" i="1"/>
  <c r="N377" i="1"/>
  <c r="M377" i="1"/>
  <c r="K370" i="1"/>
  <c r="N369" i="1"/>
  <c r="M369" i="1"/>
  <c r="K369" i="1"/>
  <c r="M368" i="1"/>
  <c r="K368" i="1"/>
  <c r="N367" i="1"/>
  <c r="M367" i="1"/>
  <c r="K361" i="1"/>
  <c r="N360" i="1"/>
  <c r="M360" i="1"/>
  <c r="N353" i="1"/>
  <c r="M353" i="1"/>
  <c r="K346" i="1"/>
  <c r="N345" i="1"/>
  <c r="M345" i="1"/>
  <c r="K338" i="1"/>
  <c r="N337" i="1"/>
  <c r="M337" i="1"/>
  <c r="K330" i="1"/>
  <c r="N329" i="1"/>
  <c r="M329" i="1"/>
  <c r="K322" i="1"/>
  <c r="N321" i="1"/>
  <c r="M321" i="1"/>
  <c r="K314" i="1"/>
  <c r="N313" i="1"/>
  <c r="M313" i="1"/>
  <c r="K306" i="1"/>
  <c r="N305" i="1"/>
  <c r="M305" i="1"/>
  <c r="K298" i="1"/>
  <c r="N297" i="1"/>
  <c r="M297" i="1"/>
  <c r="K291" i="1"/>
  <c r="N290" i="1"/>
  <c r="M290" i="1"/>
  <c r="K284" i="1"/>
  <c r="N275" i="1"/>
  <c r="M275" i="1"/>
  <c r="K268" i="1"/>
  <c r="N267" i="1"/>
  <c r="M267" i="1"/>
  <c r="K260" i="1"/>
  <c r="N259" i="1"/>
  <c r="M259" i="1"/>
  <c r="K252" i="1"/>
  <c r="N251" i="1"/>
  <c r="M251" i="1"/>
  <c r="K242" i="1"/>
  <c r="M241" i="1"/>
  <c r="K241" i="1"/>
  <c r="N240" i="1"/>
  <c r="M240" i="1"/>
  <c r="K233" i="1"/>
  <c r="N232" i="1"/>
  <c r="M232" i="1"/>
  <c r="N226" i="1"/>
  <c r="M226" i="1"/>
  <c r="K219" i="1"/>
  <c r="N218" i="1"/>
  <c r="M218" i="1"/>
  <c r="K211" i="1"/>
  <c r="N210" i="1"/>
  <c r="M210" i="1"/>
  <c r="K203" i="1"/>
  <c r="N202" i="1"/>
  <c r="M202" i="1"/>
  <c r="K195" i="1"/>
  <c r="N194" i="1"/>
  <c r="M194" i="1"/>
  <c r="K187" i="1"/>
  <c r="N186" i="1"/>
  <c r="M186" i="1"/>
  <c r="K179" i="1"/>
  <c r="N178" i="1"/>
  <c r="M178" i="1"/>
  <c r="K178" i="1"/>
  <c r="N177" i="1"/>
  <c r="M177" i="1"/>
  <c r="M170" i="1"/>
  <c r="K170" i="1"/>
  <c r="N169" i="1"/>
  <c r="M169" i="1"/>
  <c r="N162" i="1"/>
  <c r="M162" i="1"/>
  <c r="N155" i="1"/>
  <c r="M155" i="1"/>
  <c r="K148" i="1"/>
  <c r="N147" i="1"/>
  <c r="M147" i="1"/>
  <c r="K140" i="1"/>
  <c r="N139" i="1"/>
  <c r="M139" i="1"/>
  <c r="K132" i="1"/>
  <c r="N131" i="1"/>
  <c r="M131" i="1"/>
  <c r="K124" i="1"/>
  <c r="N123" i="1"/>
  <c r="M123" i="1"/>
  <c r="K116" i="1"/>
  <c r="N115" i="1"/>
  <c r="M115" i="1"/>
  <c r="K108" i="1"/>
  <c r="N107" i="1"/>
  <c r="M107" i="1"/>
  <c r="K100" i="1"/>
  <c r="N99" i="1"/>
  <c r="M99" i="1"/>
  <c r="K92" i="1"/>
  <c r="K91" i="1"/>
  <c r="N90" i="1"/>
  <c r="M90" i="1"/>
  <c r="N83" i="1"/>
  <c r="M83" i="1"/>
  <c r="K77" i="1"/>
  <c r="N76" i="1"/>
  <c r="M76" i="1"/>
  <c r="N69" i="1"/>
  <c r="M69" i="1"/>
  <c r="N62" i="1"/>
  <c r="M62" i="1"/>
  <c r="N55" i="1"/>
  <c r="M55" i="1"/>
  <c r="K48" i="1"/>
  <c r="K47" i="1"/>
  <c r="K46" i="1"/>
  <c r="N45" i="1"/>
  <c r="M45" i="1"/>
  <c r="K31" i="1"/>
  <c r="M30" i="1"/>
  <c r="K30" i="1"/>
  <c r="N29" i="1"/>
  <c r="M29" i="1"/>
  <c r="K22" i="1"/>
  <c r="N21" i="1"/>
  <c r="M21" i="1"/>
  <c r="K14" i="1"/>
  <c r="N13" i="1"/>
  <c r="M13" i="1"/>
  <c r="K6" i="1"/>
  <c r="N1258" i="1"/>
  <c r="K1258" i="1"/>
  <c r="K1250" i="1"/>
  <c r="N1247" i="1"/>
  <c r="M1247" i="1"/>
  <c r="N1241" i="1"/>
  <c r="M1241" i="1"/>
  <c r="K1233" i="1"/>
  <c r="N1231" i="1"/>
  <c r="M1231" i="1"/>
  <c r="N1228" i="1"/>
  <c r="M1228" i="1"/>
  <c r="K1225" i="1"/>
  <c r="K1222" i="1"/>
  <c r="K1219" i="1"/>
  <c r="N1213" i="1"/>
  <c r="M1213" i="1"/>
  <c r="K1209" i="1"/>
  <c r="N1206" i="1"/>
  <c r="M1206" i="1"/>
  <c r="K1203" i="1"/>
  <c r="N1199" i="1"/>
  <c r="M1199" i="1"/>
  <c r="K1196" i="1"/>
  <c r="N1193" i="1"/>
  <c r="M1193" i="1"/>
  <c r="K1189" i="1"/>
  <c r="K1186" i="1"/>
  <c r="N1182" i="1"/>
  <c r="M1182" i="1"/>
  <c r="N1178" i="1"/>
  <c r="N1175" i="1"/>
  <c r="M1175" i="1"/>
  <c r="N1171" i="1"/>
  <c r="M1171" i="1"/>
  <c r="K1168" i="1"/>
  <c r="N1165" i="1"/>
  <c r="M1165" i="1"/>
  <c r="K1162" i="1"/>
  <c r="K1130" i="1"/>
  <c r="N1129" i="1"/>
  <c r="M1129" i="1"/>
  <c r="K1128" i="1"/>
  <c r="N1127" i="1"/>
  <c r="M1127" i="1"/>
  <c r="N1125" i="1"/>
  <c r="M1125" i="1"/>
  <c r="K1124" i="1"/>
  <c r="N1123" i="1"/>
  <c r="M1123" i="1"/>
  <c r="K1121" i="1"/>
  <c r="N1120" i="1"/>
  <c r="M1120" i="1"/>
  <c r="K1119" i="1"/>
  <c r="N1118" i="1"/>
  <c r="M1118" i="1"/>
  <c r="K1117" i="1"/>
  <c r="N1116" i="1"/>
  <c r="M1116" i="1"/>
  <c r="N1115" i="1"/>
  <c r="M1115" i="1"/>
  <c r="K1114" i="1"/>
  <c r="N1113" i="1"/>
  <c r="M1113" i="1"/>
  <c r="N1111" i="1"/>
  <c r="M1111" i="1"/>
  <c r="K1110" i="1"/>
  <c r="N1109" i="1"/>
  <c r="M1109" i="1"/>
  <c r="K1109" i="1"/>
  <c r="N1108" i="1"/>
  <c r="M1108" i="1"/>
  <c r="N1106" i="1"/>
  <c r="N1104" i="1"/>
  <c r="M1104" i="1"/>
  <c r="K1102" i="1"/>
  <c r="N1101" i="1"/>
  <c r="M1101" i="1"/>
  <c r="K1098" i="1"/>
  <c r="N1097" i="1"/>
  <c r="M1097" i="1"/>
  <c r="K1095" i="1"/>
  <c r="N1094" i="1"/>
  <c r="M1094" i="1"/>
  <c r="K1092" i="1"/>
  <c r="N1091" i="1"/>
  <c r="M1091" i="1"/>
  <c r="N1087" i="1"/>
  <c r="M1087" i="1"/>
  <c r="K1084" i="1"/>
  <c r="N1083" i="1"/>
  <c r="M1083" i="1"/>
  <c r="K1079" i="1"/>
  <c r="N1078" i="1"/>
  <c r="M1078" i="1"/>
  <c r="K1074" i="1"/>
  <c r="N1073" i="1"/>
  <c r="M1073" i="1"/>
  <c r="K1069" i="1"/>
  <c r="N1068" i="1"/>
  <c r="M1068" i="1"/>
  <c r="K1064" i="1"/>
  <c r="N1063" i="1"/>
  <c r="M1063" i="1"/>
  <c r="K1058" i="1"/>
  <c r="N1057" i="1"/>
  <c r="M1057" i="1"/>
  <c r="K1053" i="1"/>
  <c r="N1052" i="1"/>
  <c r="M1052" i="1"/>
  <c r="K1048" i="1"/>
  <c r="N1047" i="1"/>
  <c r="M1047" i="1"/>
  <c r="K1043" i="1"/>
  <c r="N1042" i="1"/>
  <c r="M1042" i="1"/>
  <c r="K1038" i="1"/>
  <c r="N1037" i="1"/>
  <c r="M1037" i="1"/>
  <c r="K1032" i="1"/>
  <c r="N1031" i="1"/>
  <c r="M1031" i="1"/>
  <c r="K1026" i="1"/>
  <c r="N1025" i="1"/>
  <c r="M1025" i="1"/>
  <c r="K1020" i="1"/>
  <c r="N1019" i="1"/>
  <c r="M1019" i="1"/>
  <c r="K1014" i="1"/>
  <c r="N1013" i="1"/>
  <c r="M1013" i="1"/>
  <c r="K1008" i="1"/>
  <c r="N1007" i="1"/>
  <c r="M1007" i="1"/>
  <c r="K1002" i="1"/>
  <c r="N1001" i="1"/>
  <c r="M1001" i="1"/>
  <c r="K996" i="1"/>
  <c r="N995" i="1"/>
  <c r="M995" i="1"/>
  <c r="N991" i="1"/>
  <c r="M991" i="1"/>
  <c r="N988" i="1"/>
  <c r="K983" i="1"/>
  <c r="K982" i="1"/>
  <c r="N981" i="1"/>
  <c r="M981" i="1"/>
  <c r="K976" i="1"/>
  <c r="N975" i="1"/>
  <c r="M975" i="1"/>
  <c r="K970" i="1"/>
  <c r="N969" i="1"/>
  <c r="M969" i="1"/>
  <c r="D968" i="1"/>
  <c r="M968" i="1" s="1"/>
  <c r="K967" i="1"/>
  <c r="K963" i="1"/>
  <c r="N957" i="1"/>
  <c r="M957" i="1"/>
  <c r="K952" i="1"/>
  <c r="N951" i="1"/>
  <c r="M951" i="1"/>
  <c r="K946" i="1"/>
  <c r="N945" i="1"/>
  <c r="M945" i="1"/>
  <c r="N940" i="1"/>
  <c r="M940" i="1"/>
  <c r="K936" i="1"/>
  <c r="N935" i="1"/>
  <c r="M935" i="1"/>
  <c r="K930" i="1"/>
  <c r="K924" i="1"/>
  <c r="N923" i="1"/>
  <c r="M923" i="1"/>
  <c r="K918" i="1"/>
  <c r="N917" i="1"/>
  <c r="M917" i="1"/>
  <c r="K912" i="1"/>
  <c r="N911" i="1"/>
  <c r="M911" i="1"/>
  <c r="K906" i="1"/>
  <c r="N905" i="1"/>
  <c r="M905" i="1"/>
  <c r="K900" i="1"/>
  <c r="N899" i="1"/>
  <c r="M899" i="1"/>
  <c r="K894" i="1"/>
  <c r="N892" i="1"/>
  <c r="M892" i="1"/>
  <c r="K884" i="1"/>
  <c r="K883" i="1"/>
  <c r="N882" i="1"/>
  <c r="M882" i="1"/>
  <c r="N877" i="1"/>
  <c r="M877" i="1"/>
  <c r="N872" i="1"/>
  <c r="M872" i="1"/>
  <c r="K867" i="1"/>
  <c r="K866" i="1"/>
  <c r="K865" i="1"/>
  <c r="N864" i="1"/>
  <c r="M864" i="1"/>
  <c r="K859" i="1"/>
  <c r="N858" i="1"/>
  <c r="M858" i="1"/>
  <c r="N853" i="1"/>
  <c r="M853" i="1"/>
  <c r="N848" i="1"/>
  <c r="M848" i="1"/>
  <c r="N842" i="1"/>
  <c r="M842" i="1"/>
  <c r="N837" i="1"/>
  <c r="M837" i="1"/>
  <c r="K837" i="1"/>
  <c r="N836" i="1"/>
  <c r="M836" i="1"/>
  <c r="N831" i="1"/>
  <c r="M831" i="1"/>
  <c r="K826" i="1"/>
  <c r="N825" i="1"/>
  <c r="M825" i="1"/>
  <c r="K820" i="1"/>
  <c r="N819" i="1"/>
  <c r="M819" i="1"/>
  <c r="M814" i="1"/>
  <c r="K814" i="1"/>
  <c r="N813" i="1"/>
  <c r="M813" i="1"/>
  <c r="N808" i="1"/>
  <c r="M808" i="1"/>
  <c r="K803" i="1"/>
  <c r="N802" i="1"/>
  <c r="M802" i="1"/>
  <c r="K796" i="1"/>
  <c r="N795" i="1"/>
  <c r="M795" i="1"/>
  <c r="K790" i="1"/>
  <c r="N789" i="1"/>
  <c r="M789" i="1"/>
  <c r="K784" i="1"/>
  <c r="K783" i="1"/>
  <c r="N782" i="1"/>
  <c r="K777" i="1"/>
  <c r="K776" i="1"/>
  <c r="N775" i="1"/>
  <c r="M775" i="1"/>
  <c r="K770" i="1"/>
  <c r="N769" i="1"/>
  <c r="M769" i="1"/>
  <c r="K769" i="1"/>
  <c r="N768" i="1"/>
  <c r="M768" i="1"/>
  <c r="N763" i="1"/>
  <c r="M763" i="1"/>
  <c r="N758" i="1"/>
  <c r="M758" i="1"/>
  <c r="N753" i="1"/>
  <c r="M753" i="1"/>
  <c r="K748" i="1"/>
  <c r="N747" i="1"/>
  <c r="M747" i="1"/>
  <c r="K742" i="1"/>
  <c r="N741" i="1"/>
  <c r="M741" i="1"/>
  <c r="K735" i="1"/>
  <c r="N734" i="1"/>
  <c r="M734" i="1"/>
  <c r="K722" i="1"/>
  <c r="N721" i="1"/>
  <c r="M721" i="1"/>
  <c r="K715" i="1"/>
  <c r="N714" i="1"/>
  <c r="M714" i="1"/>
  <c r="K708" i="1"/>
  <c r="N707" i="1"/>
  <c r="M707" i="1"/>
  <c r="K701" i="1"/>
  <c r="N700" i="1"/>
  <c r="M700" i="1"/>
  <c r="K694" i="1"/>
  <c r="K693" i="1"/>
  <c r="N692" i="1"/>
  <c r="M692" i="1"/>
  <c r="K687" i="1"/>
  <c r="N686" i="1"/>
  <c r="M686" i="1"/>
  <c r="K681" i="1"/>
  <c r="N680" i="1"/>
  <c r="M680" i="1"/>
  <c r="K674" i="1"/>
  <c r="N673" i="1"/>
  <c r="M673" i="1"/>
  <c r="K667" i="1"/>
  <c r="N666" i="1"/>
  <c r="M666" i="1"/>
  <c r="K660" i="1"/>
  <c r="N659" i="1"/>
  <c r="M659" i="1"/>
  <c r="K653" i="1"/>
  <c r="N652" i="1"/>
  <c r="M652" i="1"/>
  <c r="K646" i="1"/>
  <c r="N645" i="1"/>
  <c r="M645" i="1"/>
  <c r="K639" i="1"/>
  <c r="N638" i="1"/>
  <c r="M638" i="1"/>
  <c r="K632" i="1"/>
  <c r="N631" i="1"/>
  <c r="M631" i="1"/>
  <c r="K625" i="1"/>
  <c r="N624" i="1"/>
  <c r="M624" i="1"/>
  <c r="K618" i="1"/>
  <c r="N617" i="1"/>
  <c r="M617" i="1"/>
  <c r="K612" i="1"/>
  <c r="N611" i="1"/>
  <c r="M611" i="1"/>
  <c r="K605" i="1"/>
  <c r="N604" i="1"/>
  <c r="M604" i="1"/>
  <c r="N590" i="1"/>
  <c r="M590" i="1"/>
  <c r="K584" i="1"/>
  <c r="K583" i="1"/>
  <c r="N582" i="1"/>
  <c r="M582" i="1"/>
  <c r="K576" i="1"/>
  <c r="N575" i="1"/>
  <c r="M575" i="1"/>
  <c r="K569" i="1"/>
  <c r="N568" i="1"/>
  <c r="M568" i="1"/>
  <c r="K562" i="1"/>
  <c r="N561" i="1"/>
  <c r="M561" i="1"/>
  <c r="K554" i="1"/>
  <c r="N553" i="1"/>
  <c r="M553" i="1"/>
  <c r="N547" i="1"/>
  <c r="M547" i="1"/>
  <c r="K546" i="1"/>
  <c r="N545" i="1"/>
  <c r="M545" i="1"/>
  <c r="K539" i="1"/>
  <c r="N538" i="1"/>
  <c r="M538" i="1"/>
  <c r="K532" i="1"/>
  <c r="N531" i="1"/>
  <c r="M531" i="1"/>
  <c r="K522" i="1"/>
  <c r="K521" i="1"/>
  <c r="M520" i="1"/>
  <c r="K520" i="1"/>
  <c r="M519" i="1"/>
  <c r="K512" i="1"/>
  <c r="N511" i="1"/>
  <c r="M511" i="1"/>
  <c r="K505" i="1"/>
  <c r="N504" i="1"/>
  <c r="M504" i="1"/>
  <c r="K499" i="1"/>
  <c r="N498" i="1"/>
  <c r="M498" i="1"/>
  <c r="K492" i="1"/>
  <c r="N491" i="1"/>
  <c r="M491" i="1"/>
  <c r="N485" i="1"/>
  <c r="M485" i="1"/>
  <c r="K478" i="1"/>
  <c r="K477" i="1"/>
  <c r="N476" i="1"/>
  <c r="M476" i="1"/>
  <c r="N469" i="1"/>
  <c r="M469" i="1"/>
  <c r="N461" i="1"/>
  <c r="M461" i="1"/>
  <c r="N454" i="1"/>
  <c r="M454" i="1"/>
  <c r="K447" i="1"/>
  <c r="K446" i="1"/>
  <c r="N445" i="1"/>
  <c r="M445" i="1"/>
  <c r="N438" i="1"/>
  <c r="M438" i="1"/>
  <c r="N431" i="1"/>
  <c r="M431" i="1"/>
  <c r="K427" i="1"/>
  <c r="K426" i="1"/>
  <c r="N425" i="1"/>
  <c r="M425" i="1"/>
  <c r="K418" i="1"/>
  <c r="N417" i="1"/>
  <c r="M417" i="1"/>
  <c r="K410" i="1"/>
  <c r="N409" i="1"/>
  <c r="M409" i="1"/>
  <c r="K402" i="1"/>
  <c r="N401" i="1"/>
  <c r="M401" i="1"/>
  <c r="K394" i="1"/>
  <c r="N393" i="1"/>
  <c r="M393" i="1"/>
  <c r="K386" i="1"/>
  <c r="K385" i="1"/>
  <c r="N384" i="1"/>
  <c r="M384" i="1"/>
  <c r="K384" i="1"/>
  <c r="N383" i="1"/>
  <c r="M383" i="1"/>
  <c r="N376" i="1"/>
  <c r="M376" i="1"/>
  <c r="K363" i="1"/>
  <c r="K362" i="1"/>
  <c r="N361" i="1"/>
  <c r="M361" i="1"/>
  <c r="N354" i="1"/>
  <c r="M354" i="1"/>
  <c r="K347" i="1"/>
  <c r="N346" i="1"/>
  <c r="M346" i="1"/>
  <c r="K339" i="1"/>
  <c r="N338" i="1"/>
  <c r="M338" i="1"/>
  <c r="K331" i="1"/>
  <c r="N330" i="1"/>
  <c r="M330" i="1"/>
  <c r="K324" i="1"/>
  <c r="N323" i="1"/>
  <c r="M323" i="1"/>
  <c r="K316" i="1"/>
  <c r="N315" i="1"/>
  <c r="M315" i="1"/>
  <c r="K308" i="1"/>
  <c r="N307" i="1"/>
  <c r="M307" i="1"/>
  <c r="K300" i="1"/>
  <c r="N299" i="1"/>
  <c r="M299" i="1"/>
  <c r="K278" i="1"/>
  <c r="K277" i="1"/>
  <c r="N276" i="1"/>
  <c r="M276" i="1"/>
  <c r="K269" i="1"/>
  <c r="N268" i="1"/>
  <c r="M268" i="1"/>
  <c r="K261" i="1"/>
  <c r="N260" i="1"/>
  <c r="M260" i="1"/>
  <c r="K253" i="1"/>
  <c r="N252" i="1"/>
  <c r="M252" i="1"/>
  <c r="K245" i="1"/>
  <c r="N244" i="1"/>
  <c r="M244" i="1"/>
  <c r="K237" i="1"/>
  <c r="N236" i="1"/>
  <c r="M236" i="1"/>
  <c r="K225" i="1"/>
  <c r="K224" i="1"/>
  <c r="K223" i="1"/>
  <c r="N222" i="1"/>
  <c r="M222" i="1"/>
  <c r="N215" i="1"/>
  <c r="M215" i="1"/>
  <c r="K208" i="1"/>
  <c r="N207" i="1"/>
  <c r="M207" i="1"/>
  <c r="K200" i="1"/>
  <c r="N199" i="1"/>
  <c r="M199" i="1"/>
  <c r="K192" i="1"/>
  <c r="N191" i="1"/>
  <c r="M191" i="1"/>
  <c r="K184" i="1"/>
  <c r="N183" i="1"/>
  <c r="M183" i="1"/>
  <c r="K176" i="1"/>
  <c r="N175" i="1"/>
  <c r="M175" i="1"/>
  <c r="K167" i="1"/>
  <c r="N166" i="1"/>
  <c r="M166" i="1"/>
  <c r="K159" i="1"/>
  <c r="N158" i="1"/>
  <c r="M158" i="1"/>
  <c r="K151" i="1"/>
  <c r="N150" i="1"/>
  <c r="M150" i="1"/>
  <c r="K143" i="1"/>
  <c r="N142" i="1"/>
  <c r="M142" i="1"/>
  <c r="K135" i="1"/>
  <c r="N134" i="1"/>
  <c r="M134" i="1"/>
  <c r="K127" i="1"/>
  <c r="N126" i="1"/>
  <c r="M126" i="1"/>
  <c r="N119" i="1"/>
  <c r="M119" i="1"/>
  <c r="N112" i="1"/>
  <c r="M112" i="1"/>
  <c r="K105" i="1"/>
  <c r="N104" i="1"/>
  <c r="M104" i="1"/>
  <c r="K97" i="1"/>
  <c r="K96" i="1"/>
  <c r="N95" i="1"/>
  <c r="M95" i="1"/>
  <c r="N88" i="1"/>
  <c r="M88" i="1"/>
  <c r="K81" i="1"/>
  <c r="K80" i="1"/>
  <c r="N79" i="1"/>
  <c r="M79" i="1"/>
  <c r="K73" i="1"/>
  <c r="N72" i="1"/>
  <c r="M72" i="1"/>
  <c r="N65" i="1"/>
  <c r="M65" i="1"/>
  <c r="K58" i="1"/>
  <c r="N57" i="1"/>
  <c r="M57" i="1"/>
  <c r="K50" i="1"/>
  <c r="N49" i="1"/>
  <c r="M49" i="1"/>
  <c r="K42" i="1"/>
  <c r="N41" i="1"/>
  <c r="M41" i="1"/>
  <c r="K41" i="1"/>
  <c r="N40" i="1"/>
  <c r="M40" i="1"/>
  <c r="N33" i="1"/>
  <c r="M33" i="1"/>
  <c r="K26" i="1"/>
  <c r="N25" i="1"/>
  <c r="M25" i="1"/>
  <c r="K18" i="1"/>
  <c r="M17" i="1"/>
  <c r="K17" i="1"/>
  <c r="N16" i="1"/>
  <c r="M16" i="1"/>
  <c r="M1258" i="1"/>
  <c r="K1253" i="1"/>
  <c r="N1250" i="1"/>
  <c r="M1250" i="1"/>
  <c r="K1246" i="1"/>
  <c r="K1245" i="1"/>
  <c r="K1243" i="1"/>
  <c r="N1242" i="1"/>
  <c r="M1242" i="1"/>
  <c r="M1238" i="1"/>
  <c r="K1238" i="1"/>
  <c r="N1237" i="1"/>
  <c r="M1237" i="1"/>
  <c r="K1235" i="1"/>
  <c r="K1234" i="1"/>
  <c r="N1227" i="1"/>
  <c r="M1227" i="1"/>
  <c r="N1223" i="1"/>
  <c r="M1223" i="1"/>
  <c r="K1217" i="1"/>
  <c r="K1213" i="1"/>
  <c r="K1208" i="1"/>
  <c r="K1205" i="1"/>
  <c r="K1202" i="1"/>
  <c r="N1198" i="1"/>
  <c r="M1198" i="1"/>
  <c r="K1195" i="1"/>
  <c r="K1193" i="1"/>
  <c r="N1189" i="1"/>
  <c r="M1189" i="1"/>
  <c r="N1185" i="1"/>
  <c r="M1185" i="1"/>
  <c r="K1182" i="1"/>
  <c r="N1181" i="1"/>
  <c r="M1181" i="1"/>
  <c r="N1177" i="1"/>
  <c r="M1177" i="1"/>
  <c r="N1174" i="1"/>
  <c r="M1174" i="1"/>
  <c r="K1171" i="1"/>
  <c r="N1168" i="1"/>
  <c r="M1168" i="1"/>
  <c r="K1165" i="1"/>
  <c r="N1162" i="1"/>
  <c r="M1162" i="1"/>
  <c r="K1160" i="1"/>
  <c r="N1157" i="1"/>
  <c r="M1157" i="1"/>
  <c r="K1155" i="1"/>
  <c r="K1081" i="1"/>
  <c r="N1080" i="1"/>
  <c r="M1080" i="1"/>
  <c r="K1076" i="1"/>
  <c r="K1075" i="1"/>
  <c r="N1074" i="1"/>
  <c r="M1074" i="1"/>
  <c r="K1070" i="1"/>
  <c r="N1069" i="1"/>
  <c r="M1069" i="1"/>
  <c r="K1065" i="1"/>
  <c r="N1064" i="1"/>
  <c r="M1064" i="1"/>
  <c r="N1059" i="1"/>
  <c r="M1059" i="1"/>
  <c r="K1051" i="1"/>
  <c r="K1050" i="1"/>
  <c r="N1049" i="1"/>
  <c r="M1049" i="1"/>
  <c r="N1045" i="1"/>
  <c r="M1045" i="1"/>
  <c r="N1041" i="1"/>
  <c r="M1041" i="1"/>
  <c r="K1037" i="1"/>
  <c r="N1036" i="1"/>
  <c r="M1036" i="1"/>
  <c r="K1036" i="1"/>
  <c r="N1035" i="1"/>
  <c r="M1035" i="1"/>
  <c r="N1030" i="1"/>
  <c r="M1030" i="1"/>
  <c r="K1025" i="1"/>
  <c r="K1024" i="1"/>
  <c r="N1023" i="1"/>
  <c r="M1023" i="1"/>
  <c r="K1018" i="1"/>
  <c r="N1017" i="1"/>
  <c r="M1017" i="1"/>
  <c r="K1012" i="1"/>
  <c r="N1011" i="1"/>
  <c r="M1011" i="1"/>
  <c r="K1006" i="1"/>
  <c r="N1005" i="1"/>
  <c r="M1005" i="1"/>
  <c r="K1000" i="1"/>
  <c r="N999" i="1"/>
  <c r="M999" i="1"/>
  <c r="K994" i="1"/>
  <c r="N993" i="1"/>
  <c r="M993" i="1"/>
  <c r="K987" i="1"/>
  <c r="N986" i="1"/>
  <c r="M986" i="1"/>
  <c r="K981" i="1"/>
  <c r="N980" i="1"/>
  <c r="M980" i="1"/>
  <c r="K975" i="1"/>
  <c r="K974" i="1"/>
  <c r="N973" i="1"/>
  <c r="M973" i="1"/>
  <c r="K968" i="1"/>
  <c r="N965" i="1"/>
  <c r="M965" i="1"/>
  <c r="D962" i="1"/>
  <c r="M962" i="1" s="1"/>
  <c r="N961" i="1"/>
  <c r="M961" i="1"/>
  <c r="K956" i="1"/>
  <c r="N955" i="1"/>
  <c r="M955" i="1"/>
  <c r="K951" i="1"/>
  <c r="K950" i="1"/>
  <c r="N949" i="1"/>
  <c r="M949" i="1"/>
  <c r="M944" i="1"/>
  <c r="K944" i="1"/>
  <c r="N943" i="1"/>
  <c r="M943" i="1"/>
  <c r="N939" i="1"/>
  <c r="K939" i="1"/>
  <c r="N938" i="1"/>
  <c r="M938" i="1"/>
  <c r="N933" i="1"/>
  <c r="M933" i="1"/>
  <c r="K928" i="1"/>
  <c r="N927" i="1"/>
  <c r="M927" i="1"/>
  <c r="N922" i="1"/>
  <c r="M922" i="1"/>
  <c r="K917" i="1"/>
  <c r="N916" i="1"/>
  <c r="M916" i="1"/>
  <c r="K911" i="1"/>
  <c r="N910" i="1"/>
  <c r="M910" i="1"/>
  <c r="K905" i="1"/>
  <c r="N904" i="1"/>
  <c r="M904" i="1"/>
  <c r="K899" i="1"/>
  <c r="N898" i="1"/>
  <c r="M898" i="1"/>
  <c r="N893" i="1"/>
  <c r="M893" i="1"/>
  <c r="K888" i="1"/>
  <c r="N887" i="1"/>
  <c r="M887" i="1"/>
  <c r="K882" i="1"/>
  <c r="N881" i="1"/>
  <c r="M881" i="1"/>
  <c r="K876" i="1"/>
  <c r="N875" i="1"/>
  <c r="M875" i="1"/>
  <c r="K871" i="1"/>
  <c r="N870" i="1"/>
  <c r="M870" i="1"/>
  <c r="N865" i="1"/>
  <c r="M865" i="1"/>
  <c r="N860" i="1"/>
  <c r="M860" i="1"/>
  <c r="K856" i="1"/>
  <c r="K855" i="1"/>
  <c r="K854" i="1"/>
  <c r="K853" i="1"/>
  <c r="N852" i="1"/>
  <c r="M852" i="1"/>
  <c r="K847" i="1"/>
  <c r="K846" i="1"/>
  <c r="N845" i="1"/>
  <c r="M845" i="1"/>
  <c r="N840" i="1"/>
  <c r="M840" i="1"/>
  <c r="K840" i="1"/>
  <c r="N839" i="1"/>
  <c r="M839" i="1"/>
  <c r="M834" i="1"/>
  <c r="K834" i="1"/>
  <c r="N833" i="1"/>
  <c r="M833" i="1"/>
  <c r="K828" i="1"/>
  <c r="N827" i="1"/>
  <c r="M827" i="1"/>
  <c r="K822" i="1"/>
  <c r="N821" i="1"/>
  <c r="M821" i="1"/>
  <c r="N816" i="1"/>
  <c r="M816" i="1"/>
  <c r="K811" i="1"/>
  <c r="K810" i="1"/>
  <c r="N809" i="1"/>
  <c r="M809" i="1"/>
  <c r="K804" i="1"/>
  <c r="N803" i="1"/>
  <c r="M803" i="1"/>
  <c r="K798" i="1"/>
  <c r="N797" i="1"/>
  <c r="M797" i="1"/>
  <c r="K792" i="1"/>
  <c r="N791" i="1"/>
  <c r="M791" i="1"/>
  <c r="K786" i="1"/>
  <c r="N785" i="1"/>
  <c r="M785" i="1"/>
  <c r="K780" i="1"/>
  <c r="N779" i="1"/>
  <c r="M779" i="1"/>
  <c r="K774" i="1"/>
  <c r="N773" i="1"/>
  <c r="M773" i="1"/>
  <c r="K768" i="1"/>
  <c r="N767" i="1"/>
  <c r="M767" i="1"/>
  <c r="K762" i="1"/>
  <c r="N761" i="1"/>
  <c r="M761" i="1"/>
  <c r="K756" i="1"/>
  <c r="N755" i="1"/>
  <c r="M755" i="1"/>
  <c r="K750" i="1"/>
  <c r="N749" i="1"/>
  <c r="M749" i="1"/>
  <c r="K744" i="1"/>
  <c r="N743" i="1"/>
  <c r="M743" i="1"/>
  <c r="K737" i="1"/>
  <c r="N736" i="1"/>
  <c r="M736" i="1"/>
  <c r="K730" i="1"/>
  <c r="N729" i="1"/>
  <c r="M729" i="1"/>
  <c r="K725" i="1"/>
  <c r="N724" i="1"/>
  <c r="M724" i="1"/>
  <c r="K719" i="1"/>
  <c r="K717" i="1"/>
  <c r="K716" i="1"/>
  <c r="N715" i="1"/>
  <c r="M715" i="1"/>
  <c r="N709" i="1"/>
  <c r="M709" i="1"/>
  <c r="N703" i="1"/>
  <c r="M703" i="1"/>
  <c r="N697" i="1"/>
  <c r="M697" i="1"/>
  <c r="N691" i="1"/>
  <c r="M691" i="1"/>
  <c r="K686" i="1"/>
  <c r="N685" i="1"/>
  <c r="M685" i="1"/>
  <c r="K680" i="1"/>
  <c r="N679" i="1"/>
  <c r="M679" i="1"/>
  <c r="K673" i="1"/>
  <c r="N672" i="1"/>
  <c r="M672" i="1"/>
  <c r="K666" i="1"/>
  <c r="K665" i="1"/>
  <c r="N664" i="1"/>
  <c r="M664" i="1"/>
  <c r="K658" i="1"/>
  <c r="K657" i="1"/>
  <c r="N656" i="1"/>
  <c r="M656" i="1"/>
  <c r="N650" i="1"/>
  <c r="M650" i="1"/>
  <c r="K644" i="1"/>
  <c r="N643" i="1"/>
  <c r="M643" i="1"/>
  <c r="N634" i="1"/>
  <c r="M634" i="1"/>
  <c r="K627" i="1"/>
  <c r="K626" i="1"/>
  <c r="N625" i="1"/>
  <c r="M625" i="1"/>
  <c r="N619" i="1"/>
  <c r="M619" i="1"/>
  <c r="K613" i="1"/>
  <c r="N612" i="1"/>
  <c r="M612" i="1"/>
  <c r="K606" i="1"/>
  <c r="N605" i="1"/>
  <c r="M605" i="1"/>
  <c r="K599" i="1"/>
  <c r="N598" i="1"/>
  <c r="M598" i="1"/>
  <c r="K592" i="1"/>
  <c r="N591" i="1"/>
  <c r="M591" i="1"/>
  <c r="K585" i="1"/>
  <c r="N584" i="1"/>
  <c r="M584" i="1"/>
  <c r="K578" i="1"/>
  <c r="N577" i="1"/>
  <c r="M577" i="1"/>
  <c r="K571" i="1"/>
  <c r="N570" i="1"/>
  <c r="M570" i="1"/>
  <c r="K564" i="1"/>
  <c r="N563" i="1"/>
  <c r="M563" i="1"/>
  <c r="K556" i="1"/>
  <c r="N555" i="1"/>
  <c r="M555" i="1"/>
  <c r="K549" i="1"/>
  <c r="N548" i="1"/>
  <c r="M548" i="1"/>
  <c r="K542" i="1"/>
  <c r="N541" i="1"/>
  <c r="M541" i="1"/>
  <c r="K535" i="1"/>
  <c r="N534" i="1"/>
  <c r="M534" i="1"/>
  <c r="N527" i="1"/>
  <c r="M527" i="1"/>
  <c r="N521" i="1"/>
  <c r="M521" i="1"/>
  <c r="K514" i="1"/>
  <c r="N513" i="1"/>
  <c r="M513" i="1"/>
  <c r="K506" i="1"/>
  <c r="N505" i="1"/>
  <c r="M505" i="1"/>
  <c r="K498" i="1"/>
  <c r="N497" i="1"/>
  <c r="M497" i="1"/>
  <c r="K491" i="1"/>
  <c r="N490" i="1"/>
  <c r="M490" i="1"/>
  <c r="K483" i="1"/>
  <c r="N482" i="1"/>
  <c r="M482" i="1"/>
  <c r="K475" i="1"/>
  <c r="N474" i="1"/>
  <c r="M474" i="1"/>
  <c r="K467" i="1"/>
  <c r="N466" i="1"/>
  <c r="M466" i="1"/>
  <c r="K459" i="1"/>
  <c r="K458" i="1"/>
  <c r="N457" i="1"/>
  <c r="M457" i="1"/>
  <c r="K450" i="1"/>
  <c r="N449" i="1"/>
  <c r="M449" i="1"/>
  <c r="K442" i="1"/>
  <c r="N441" i="1"/>
  <c r="M441" i="1"/>
  <c r="K434" i="1"/>
  <c r="N433" i="1"/>
  <c r="M433" i="1"/>
  <c r="K424" i="1"/>
  <c r="N423" i="1"/>
  <c r="M423" i="1"/>
  <c r="N416" i="1"/>
  <c r="M416" i="1"/>
  <c r="K416" i="1"/>
  <c r="N415" i="1"/>
  <c r="M415" i="1"/>
  <c r="K401" i="1"/>
  <c r="N400" i="1"/>
  <c r="K393" i="1"/>
  <c r="N392" i="1"/>
  <c r="N385" i="1"/>
  <c r="M385" i="1"/>
  <c r="K378" i="1"/>
  <c r="K377" i="1"/>
  <c r="K376" i="1"/>
  <c r="N375" i="1"/>
  <c r="M375" i="1"/>
  <c r="N368" i="1"/>
  <c r="K358" i="1"/>
  <c r="N357" i="1"/>
  <c r="M357" i="1"/>
  <c r="K350" i="1"/>
  <c r="N349" i="1"/>
  <c r="M349" i="1"/>
  <c r="K342" i="1"/>
  <c r="N341" i="1"/>
  <c r="M341" i="1"/>
  <c r="K334" i="1"/>
  <c r="N333" i="1"/>
  <c r="M333" i="1"/>
  <c r="K327" i="1"/>
  <c r="N326" i="1"/>
  <c r="M326" i="1"/>
  <c r="K319" i="1"/>
  <c r="N318" i="1"/>
  <c r="M318" i="1"/>
  <c r="K311" i="1"/>
  <c r="N310" i="1"/>
  <c r="M310" i="1"/>
  <c r="K303" i="1"/>
  <c r="N302" i="1"/>
  <c r="M302" i="1"/>
  <c r="K295" i="1"/>
  <c r="N294" i="1"/>
  <c r="M294" i="1"/>
  <c r="K287" i="1"/>
  <c r="N286" i="1"/>
  <c r="M286" i="1"/>
  <c r="K280" i="1"/>
  <c r="N279" i="1"/>
  <c r="M279" i="1"/>
  <c r="K272" i="1"/>
  <c r="N271" i="1"/>
  <c r="M271" i="1"/>
  <c r="K264" i="1"/>
  <c r="N263" i="1"/>
  <c r="M263" i="1"/>
  <c r="K256" i="1"/>
  <c r="N255" i="1"/>
  <c r="M255" i="1"/>
  <c r="K248" i="1"/>
  <c r="N247" i="1"/>
  <c r="M247" i="1"/>
  <c r="K240" i="1"/>
  <c r="N239" i="1"/>
  <c r="M239" i="1"/>
  <c r="K232" i="1"/>
  <c r="N231" i="1"/>
  <c r="M231" i="1"/>
  <c r="N224" i="1"/>
  <c r="M224" i="1"/>
  <c r="K217" i="1"/>
  <c r="K216" i="1"/>
  <c r="K215" i="1"/>
  <c r="N214" i="1"/>
  <c r="M214" i="1"/>
  <c r="K207" i="1"/>
  <c r="K206" i="1"/>
  <c r="N205" i="1"/>
  <c r="M205" i="1"/>
  <c r="K198" i="1"/>
  <c r="N197" i="1"/>
  <c r="M197" i="1"/>
  <c r="K190" i="1"/>
  <c r="N189" i="1"/>
  <c r="M189" i="1"/>
  <c r="K182" i="1"/>
  <c r="N181" i="1"/>
  <c r="M181" i="1"/>
  <c r="K174" i="1"/>
  <c r="N173" i="1"/>
  <c r="M173" i="1"/>
  <c r="K166" i="1"/>
  <c r="N165" i="1"/>
  <c r="M165" i="1"/>
  <c r="K158" i="1"/>
  <c r="N157" i="1"/>
  <c r="M157" i="1"/>
  <c r="K150" i="1"/>
  <c r="N149" i="1"/>
  <c r="M149" i="1"/>
  <c r="K142" i="1"/>
  <c r="N141" i="1"/>
  <c r="M141" i="1"/>
  <c r="K134" i="1"/>
  <c r="N133" i="1"/>
  <c r="M133" i="1"/>
  <c r="K125" i="1"/>
  <c r="N124" i="1"/>
  <c r="M124" i="1"/>
  <c r="N117" i="1"/>
  <c r="M117" i="1"/>
  <c r="K110" i="1"/>
  <c r="K109" i="1"/>
  <c r="N108" i="1"/>
  <c r="M108" i="1"/>
  <c r="K101" i="1"/>
  <c r="N100" i="1"/>
  <c r="M100" i="1"/>
  <c r="N93" i="1"/>
  <c r="M93" i="1"/>
  <c r="K86" i="1"/>
  <c r="N85" i="1"/>
  <c r="M85" i="1"/>
  <c r="K79" i="1"/>
  <c r="N78" i="1"/>
  <c r="K72" i="1"/>
  <c r="N71" i="1"/>
  <c r="M71" i="1"/>
  <c r="K64" i="1"/>
  <c r="K63" i="1"/>
  <c r="K62" i="1"/>
  <c r="K61" i="1"/>
  <c r="N60" i="1"/>
  <c r="M60" i="1"/>
  <c r="N53" i="1"/>
  <c r="M53" i="1"/>
  <c r="N46" i="1"/>
  <c r="M46" i="1"/>
  <c r="K39" i="1"/>
  <c r="N38" i="1"/>
  <c r="M38" i="1"/>
  <c r="K38" i="1"/>
  <c r="N37" i="1"/>
  <c r="M37" i="1"/>
  <c r="N30" i="1"/>
  <c r="K23" i="1"/>
  <c r="N22" i="1"/>
  <c r="M22" i="1"/>
  <c r="M15" i="1"/>
  <c r="K15" i="1"/>
  <c r="N14" i="1"/>
  <c r="M14" i="1"/>
  <c r="K7" i="1"/>
  <c r="N6" i="1"/>
  <c r="M6" i="1"/>
  <c r="K1257" i="1"/>
  <c r="K1254" i="1"/>
  <c r="K1251" i="1"/>
  <c r="K1244" i="1"/>
  <c r="N1240" i="1"/>
  <c r="M1240" i="1"/>
  <c r="K1237" i="1"/>
  <c r="N1233" i="1"/>
  <c r="M1233" i="1"/>
  <c r="K1230" i="1"/>
  <c r="K1227" i="1"/>
  <c r="N1224" i="1"/>
  <c r="M1224" i="1"/>
  <c r="N1220" i="1"/>
  <c r="M1220" i="1"/>
  <c r="N1210" i="1"/>
  <c r="M1210" i="1"/>
  <c r="K1206" i="1"/>
  <c r="N1203" i="1"/>
  <c r="M1203" i="1"/>
  <c r="N1200" i="1"/>
  <c r="M1200" i="1"/>
  <c r="N1195" i="1"/>
  <c r="M1195" i="1"/>
  <c r="N1192" i="1"/>
  <c r="M1192" i="1"/>
  <c r="N1188" i="1"/>
  <c r="M1188" i="1"/>
  <c r="N1184" i="1"/>
  <c r="M1184" i="1"/>
  <c r="N1180" i="1"/>
  <c r="M1180" i="1"/>
  <c r="K1176" i="1"/>
  <c r="N1173" i="1"/>
  <c r="M1173" i="1"/>
  <c r="K1169" i="1"/>
  <c r="K1167" i="1"/>
  <c r="N1164" i="1"/>
  <c r="M1164" i="1"/>
  <c r="N1159" i="1"/>
  <c r="M1159" i="1"/>
  <c r="K1157" i="1"/>
  <c r="N1155" i="1"/>
  <c r="M1155" i="1"/>
  <c r="N1153" i="1"/>
  <c r="M1153" i="1"/>
  <c r="N1152" i="1"/>
  <c r="M1152" i="1"/>
  <c r="K1152" i="1"/>
  <c r="N1151" i="1"/>
  <c r="M1151" i="1"/>
  <c r="K1151" i="1"/>
  <c r="N1150" i="1"/>
  <c r="M1150" i="1"/>
  <c r="N1149" i="1"/>
  <c r="M1149" i="1"/>
  <c r="K1149" i="1"/>
  <c r="N1147" i="1"/>
  <c r="M1147" i="1"/>
  <c r="N1146" i="1"/>
  <c r="M1146" i="1"/>
  <c r="K1146" i="1"/>
  <c r="K1145" i="1"/>
  <c r="K743" i="1"/>
  <c r="N742" i="1"/>
  <c r="M742" i="1"/>
  <c r="K736" i="1"/>
  <c r="N735" i="1"/>
  <c r="M735" i="1"/>
  <c r="K729" i="1"/>
  <c r="N728" i="1"/>
  <c r="M728" i="1"/>
  <c r="K726" i="1"/>
  <c r="N725" i="1"/>
  <c r="M725" i="1"/>
  <c r="N718" i="1"/>
  <c r="M718" i="1"/>
  <c r="N712" i="1"/>
  <c r="M712" i="1"/>
  <c r="N706" i="1"/>
  <c r="M706" i="1"/>
  <c r="K700" i="1"/>
  <c r="N699" i="1"/>
  <c r="M699" i="1"/>
  <c r="N693" i="1"/>
  <c r="M693" i="1"/>
  <c r="K688" i="1"/>
  <c r="N687" i="1"/>
  <c r="M687" i="1"/>
  <c r="K683" i="1"/>
  <c r="K682" i="1"/>
  <c r="N681" i="1"/>
  <c r="M681" i="1"/>
  <c r="N678" i="1"/>
  <c r="M678" i="1"/>
  <c r="K672" i="1"/>
  <c r="K671" i="1"/>
  <c r="K670" i="1"/>
  <c r="N669" i="1"/>
  <c r="M669" i="1"/>
  <c r="K663" i="1"/>
  <c r="N662" i="1"/>
  <c r="M662" i="1"/>
  <c r="K656" i="1"/>
  <c r="N655" i="1"/>
  <c r="M655" i="1"/>
  <c r="K649" i="1"/>
  <c r="N648" i="1"/>
  <c r="M648" i="1"/>
  <c r="M642" i="1"/>
  <c r="K642" i="1"/>
  <c r="N641" i="1"/>
  <c r="M641" i="1"/>
  <c r="K630" i="1"/>
  <c r="N629" i="1"/>
  <c r="M629" i="1"/>
  <c r="K623" i="1"/>
  <c r="N622" i="1"/>
  <c r="M622" i="1"/>
  <c r="K616" i="1"/>
  <c r="N615" i="1"/>
  <c r="M615" i="1"/>
  <c r="N610" i="1"/>
  <c r="M610" i="1"/>
  <c r="K604" i="1"/>
  <c r="M603" i="1"/>
  <c r="K603" i="1"/>
  <c r="N602" i="1"/>
  <c r="M602" i="1"/>
  <c r="K596" i="1"/>
  <c r="N595" i="1"/>
  <c r="M595" i="1"/>
  <c r="K589" i="1"/>
  <c r="N588" i="1"/>
  <c r="M588" i="1"/>
  <c r="K582" i="1"/>
  <c r="N581" i="1"/>
  <c r="M581" i="1"/>
  <c r="K575" i="1"/>
  <c r="N574" i="1"/>
  <c r="M574" i="1"/>
  <c r="K568" i="1"/>
  <c r="N567" i="1"/>
  <c r="M567" i="1"/>
  <c r="K561" i="1"/>
  <c r="N560" i="1"/>
  <c r="M560" i="1"/>
  <c r="N551" i="1"/>
  <c r="M551" i="1"/>
  <c r="K545" i="1"/>
  <c r="N544" i="1"/>
  <c r="M544" i="1"/>
  <c r="K538" i="1"/>
  <c r="N537" i="1"/>
  <c r="M537" i="1"/>
  <c r="K531" i="1"/>
  <c r="N530" i="1"/>
  <c r="M530" i="1"/>
  <c r="K525" i="1"/>
  <c r="K524" i="1"/>
  <c r="K523" i="1"/>
  <c r="N522" i="1"/>
  <c r="M522" i="1"/>
  <c r="K515" i="1"/>
  <c r="N514" i="1"/>
  <c r="M514" i="1"/>
  <c r="K507" i="1"/>
  <c r="N506" i="1"/>
  <c r="M506" i="1"/>
  <c r="K500" i="1"/>
  <c r="N499" i="1"/>
  <c r="M499" i="1"/>
  <c r="K493" i="1"/>
  <c r="N492" i="1"/>
  <c r="M492" i="1"/>
  <c r="K484" i="1"/>
  <c r="N483" i="1"/>
  <c r="M483" i="1"/>
  <c r="K476" i="1"/>
  <c r="N475" i="1"/>
  <c r="M475" i="1"/>
  <c r="K468" i="1"/>
  <c r="N467" i="1"/>
  <c r="M467" i="1"/>
  <c r="K460" i="1"/>
  <c r="N459" i="1"/>
  <c r="M459" i="1"/>
  <c r="K452" i="1"/>
  <c r="N451" i="1"/>
  <c r="M451" i="1"/>
  <c r="K444" i="1"/>
  <c r="N443" i="1"/>
  <c r="M443" i="1"/>
  <c r="K436" i="1"/>
  <c r="N435" i="1"/>
  <c r="M435" i="1"/>
  <c r="K429" i="1"/>
  <c r="N428" i="1"/>
  <c r="M428" i="1"/>
  <c r="K421" i="1"/>
  <c r="N420" i="1"/>
  <c r="M420" i="1"/>
  <c r="K413" i="1"/>
  <c r="N412" i="1"/>
  <c r="M412" i="1"/>
  <c r="K405" i="1"/>
  <c r="N404" i="1"/>
  <c r="M404" i="1"/>
  <c r="K397" i="1"/>
  <c r="N396" i="1"/>
  <c r="M396" i="1"/>
  <c r="K389" i="1"/>
  <c r="N388" i="1"/>
  <c r="M388" i="1"/>
  <c r="K381" i="1"/>
  <c r="N380" i="1"/>
  <c r="M380" i="1"/>
  <c r="K373" i="1"/>
  <c r="N372" i="1"/>
  <c r="M372" i="1"/>
  <c r="K365" i="1"/>
  <c r="N364" i="1"/>
  <c r="M364" i="1"/>
  <c r="K357" i="1"/>
  <c r="N356" i="1"/>
  <c r="M356" i="1"/>
  <c r="K349" i="1"/>
  <c r="N348" i="1"/>
  <c r="M348" i="1"/>
  <c r="K341" i="1"/>
  <c r="N340" i="1"/>
  <c r="M340" i="1"/>
  <c r="K333" i="1"/>
  <c r="N332" i="1"/>
  <c r="M332" i="1"/>
  <c r="K326" i="1"/>
  <c r="N325" i="1"/>
  <c r="M325" i="1"/>
  <c r="K318" i="1"/>
  <c r="N317" i="1"/>
  <c r="M317" i="1"/>
  <c r="K310" i="1"/>
  <c r="N309" i="1"/>
  <c r="M309" i="1"/>
  <c r="K302" i="1"/>
  <c r="N301" i="1"/>
  <c r="M301" i="1"/>
  <c r="K293" i="1"/>
  <c r="N292" i="1"/>
  <c r="M292" i="1"/>
  <c r="K286" i="1"/>
  <c r="N285" i="1"/>
  <c r="M285" i="1"/>
  <c r="K279" i="1"/>
  <c r="N278" i="1"/>
  <c r="M278" i="1"/>
  <c r="K271" i="1"/>
  <c r="N270" i="1"/>
  <c r="M270" i="1"/>
  <c r="K263" i="1"/>
  <c r="N262" i="1"/>
  <c r="M262" i="1"/>
  <c r="K255" i="1"/>
  <c r="N254" i="1"/>
  <c r="M254" i="1"/>
  <c r="K247" i="1"/>
  <c r="N246" i="1"/>
  <c r="M246" i="1"/>
  <c r="K239" i="1"/>
  <c r="N238" i="1"/>
  <c r="M238" i="1"/>
  <c r="K231" i="1"/>
  <c r="N230" i="1"/>
  <c r="M230" i="1"/>
  <c r="N223" i="1"/>
  <c r="M223" i="1"/>
  <c r="N216" i="1"/>
  <c r="M216" i="1"/>
  <c r="K209" i="1"/>
  <c r="N208" i="1"/>
  <c r="M208" i="1"/>
  <c r="K201" i="1"/>
  <c r="N200" i="1"/>
  <c r="M200" i="1"/>
  <c r="K193" i="1"/>
  <c r="N192" i="1"/>
  <c r="M192" i="1"/>
  <c r="K185" i="1"/>
  <c r="N184" i="1"/>
  <c r="M184" i="1"/>
  <c r="K177" i="1"/>
  <c r="N176" i="1"/>
  <c r="M176" i="1"/>
  <c r="K169" i="1"/>
  <c r="N168" i="1"/>
  <c r="M168" i="1"/>
  <c r="K161" i="1"/>
  <c r="N160" i="1"/>
  <c r="M160" i="1"/>
  <c r="K153" i="1"/>
  <c r="N152" i="1"/>
  <c r="M152" i="1"/>
  <c r="K145" i="1"/>
  <c r="N144" i="1"/>
  <c r="M144" i="1"/>
  <c r="K137" i="1"/>
  <c r="N136" i="1"/>
  <c r="M136" i="1"/>
  <c r="K129" i="1"/>
  <c r="N128" i="1"/>
  <c r="M128" i="1"/>
  <c r="K122" i="1"/>
  <c r="N121" i="1"/>
  <c r="M121" i="1"/>
  <c r="K114" i="1"/>
  <c r="N113" i="1"/>
  <c r="M113" i="1"/>
  <c r="K106" i="1"/>
  <c r="N105" i="1"/>
  <c r="M105" i="1"/>
  <c r="K98" i="1"/>
  <c r="N97" i="1"/>
  <c r="M97" i="1"/>
  <c r="K90" i="1"/>
  <c r="N89" i="1"/>
  <c r="M89" i="1"/>
  <c r="N70" i="1"/>
  <c r="M70" i="1"/>
  <c r="N63" i="1"/>
  <c r="M63" i="1"/>
  <c r="K56" i="1"/>
  <c r="K55" i="1"/>
  <c r="K54" i="1"/>
  <c r="K53" i="1"/>
  <c r="N52" i="1"/>
  <c r="M52" i="1"/>
  <c r="K45" i="1"/>
  <c r="K44" i="1"/>
  <c r="N43" i="1"/>
  <c r="M43" i="1"/>
  <c r="K36" i="1"/>
  <c r="N35" i="1"/>
  <c r="K28" i="1"/>
  <c r="M27" i="1"/>
  <c r="K27" i="1"/>
  <c r="N26" i="1"/>
  <c r="M26" i="1"/>
  <c r="K19" i="1"/>
  <c r="N18" i="1"/>
  <c r="M18" i="1"/>
  <c r="K11" i="1"/>
  <c r="N10" i="1"/>
  <c r="M10" i="1"/>
  <c r="K1259" i="1"/>
  <c r="K1255" i="1"/>
  <c r="N1254" i="1"/>
  <c r="M1254" i="1"/>
  <c r="N1246" i="1"/>
  <c r="M1246" i="1"/>
  <c r="K1242" i="1"/>
  <c r="N1236" i="1"/>
  <c r="K1232" i="1"/>
  <c r="K1229" i="1"/>
  <c r="N1226" i="1"/>
  <c r="M1226" i="1"/>
  <c r="N1222" i="1"/>
  <c r="M1222" i="1"/>
  <c r="K1218" i="1"/>
  <c r="D1216" i="1"/>
  <c r="M1216" i="1" s="1"/>
  <c r="N1215" i="1"/>
  <c r="M1215" i="1"/>
  <c r="K1212" i="1"/>
  <c r="N1211" i="1"/>
  <c r="M1211" i="1"/>
  <c r="N1207" i="1"/>
  <c r="M1207" i="1"/>
  <c r="N1202" i="1"/>
  <c r="M1202" i="1"/>
  <c r="K1199" i="1"/>
  <c r="N1196" i="1"/>
  <c r="M1196" i="1"/>
  <c r="K1192" i="1"/>
  <c r="K1190" i="1"/>
  <c r="N1186" i="1"/>
  <c r="M1186" i="1"/>
  <c r="K1179" i="1"/>
  <c r="N1176" i="1"/>
  <c r="M1176" i="1"/>
  <c r="K1173" i="1"/>
  <c r="K1170" i="1"/>
  <c r="N1167" i="1"/>
  <c r="M1167" i="1"/>
  <c r="N1163" i="1"/>
  <c r="M1163" i="1"/>
  <c r="N1160" i="1"/>
  <c r="M1160" i="1"/>
  <c r="K1158" i="1"/>
  <c r="N1156" i="1"/>
  <c r="M1156" i="1"/>
  <c r="K1154" i="1"/>
  <c r="K1091" i="1"/>
  <c r="K1087" i="1"/>
  <c r="N1086" i="1"/>
  <c r="M1086" i="1"/>
  <c r="K1086" i="1"/>
  <c r="N1085" i="1"/>
  <c r="M1085" i="1"/>
  <c r="K1082" i="1"/>
  <c r="N1081" i="1"/>
  <c r="M1081" i="1"/>
  <c r="N1077" i="1"/>
  <c r="K1077" i="1"/>
  <c r="N1076" i="1"/>
  <c r="M1076" i="1"/>
  <c r="K1072" i="1"/>
  <c r="N1071" i="1"/>
  <c r="M1071" i="1"/>
  <c r="K1067" i="1"/>
  <c r="N1066" i="1"/>
  <c r="M1066" i="1"/>
  <c r="N1062" i="1"/>
  <c r="M1062" i="1"/>
  <c r="K1057" i="1"/>
  <c r="N1056" i="1"/>
  <c r="M1056" i="1"/>
  <c r="K1052" i="1"/>
  <c r="N1051" i="1"/>
  <c r="M1051" i="1"/>
  <c r="K1047" i="1"/>
  <c r="K1046" i="1"/>
  <c r="K1045" i="1"/>
  <c r="N1044" i="1"/>
  <c r="M1044" i="1"/>
  <c r="K1040" i="1"/>
  <c r="K1039" i="1"/>
  <c r="N1038" i="1"/>
  <c r="M1038" i="1"/>
  <c r="K1033" i="1"/>
  <c r="N1032" i="1"/>
  <c r="M1032" i="1"/>
  <c r="K1027" i="1"/>
  <c r="N1026" i="1"/>
  <c r="M1026" i="1"/>
  <c r="K1021" i="1"/>
  <c r="N1020" i="1"/>
  <c r="M1020" i="1"/>
  <c r="K1015" i="1"/>
  <c r="N1014" i="1"/>
  <c r="M1014" i="1"/>
  <c r="K1009" i="1"/>
  <c r="N1008" i="1"/>
  <c r="M1008" i="1"/>
  <c r="N1003" i="1"/>
  <c r="M1003" i="1"/>
  <c r="K998" i="1"/>
  <c r="N997" i="1"/>
  <c r="M997" i="1"/>
  <c r="K992" i="1"/>
  <c r="K991" i="1"/>
  <c r="K990" i="1"/>
  <c r="N989" i="1"/>
  <c r="M989" i="1"/>
  <c r="N984" i="1"/>
  <c r="M984" i="1"/>
  <c r="K979" i="1"/>
  <c r="N978" i="1"/>
  <c r="M978" i="1"/>
  <c r="K973" i="1"/>
  <c r="N972" i="1"/>
  <c r="M972" i="1"/>
  <c r="K964" i="1"/>
  <c r="N963" i="1"/>
  <c r="M963" i="1"/>
  <c r="K960" i="1"/>
  <c r="N959" i="1"/>
  <c r="M959" i="1"/>
  <c r="K954" i="1"/>
  <c r="N953" i="1"/>
  <c r="M953" i="1"/>
  <c r="K948" i="1"/>
  <c r="N947" i="1"/>
  <c r="M947" i="1"/>
  <c r="K942" i="1"/>
  <c r="N941" i="1"/>
  <c r="M941" i="1"/>
  <c r="K937" i="1"/>
  <c r="N936" i="1"/>
  <c r="M936" i="1"/>
  <c r="K931" i="1"/>
  <c r="N930" i="1"/>
  <c r="M930" i="1"/>
  <c r="K925" i="1"/>
  <c r="N924" i="1"/>
  <c r="M924" i="1"/>
  <c r="K919" i="1"/>
  <c r="N918" i="1"/>
  <c r="M918" i="1"/>
  <c r="K913" i="1"/>
  <c r="N912" i="1"/>
  <c r="M912" i="1"/>
  <c r="K907" i="1"/>
  <c r="N906" i="1"/>
  <c r="M906" i="1"/>
  <c r="K901" i="1"/>
  <c r="N900" i="1"/>
  <c r="M900" i="1"/>
  <c r="K895" i="1"/>
  <c r="N894" i="1"/>
  <c r="M894" i="1"/>
  <c r="K889" i="1"/>
  <c r="N888" i="1"/>
  <c r="M888" i="1"/>
  <c r="N883" i="1"/>
  <c r="M883" i="1"/>
  <c r="N878" i="1"/>
  <c r="M878" i="1"/>
  <c r="N874" i="1"/>
  <c r="M874" i="1"/>
  <c r="K869" i="1"/>
  <c r="N868" i="1"/>
  <c r="M868" i="1"/>
  <c r="K863" i="1"/>
  <c r="N862" i="1"/>
  <c r="M862" i="1"/>
  <c r="K862" i="1"/>
  <c r="M861" i="1"/>
  <c r="N856" i="1"/>
  <c r="M856" i="1"/>
  <c r="K851" i="1"/>
  <c r="N850" i="1"/>
  <c r="M850" i="1"/>
  <c r="K845" i="1"/>
  <c r="K844" i="1"/>
  <c r="K843" i="1"/>
  <c r="K842" i="1"/>
  <c r="N841" i="1"/>
  <c r="M841" i="1"/>
  <c r="K836" i="1"/>
  <c r="N835" i="1"/>
  <c r="M835" i="1"/>
  <c r="K830" i="1"/>
  <c r="N829" i="1"/>
  <c r="M829" i="1"/>
  <c r="K824" i="1"/>
  <c r="N823" i="1"/>
  <c r="M823" i="1"/>
  <c r="K819" i="1"/>
  <c r="N818" i="1"/>
  <c r="M818" i="1"/>
  <c r="K813" i="1"/>
  <c r="N812" i="1"/>
  <c r="M812" i="1"/>
  <c r="N807" i="1"/>
  <c r="M807" i="1"/>
  <c r="K802" i="1"/>
  <c r="K801" i="1"/>
  <c r="N800" i="1"/>
  <c r="M800" i="1"/>
  <c r="K795" i="1"/>
  <c r="N794" i="1"/>
  <c r="M794" i="1"/>
  <c r="K789" i="1"/>
  <c r="N788" i="1"/>
  <c r="M788" i="1"/>
  <c r="N783" i="1"/>
  <c r="M783" i="1"/>
  <c r="K778" i="1"/>
  <c r="N777" i="1"/>
  <c r="M777" i="1"/>
  <c r="K772" i="1"/>
  <c r="N771" i="1"/>
  <c r="M771" i="1"/>
  <c r="K771" i="1"/>
  <c r="N770" i="1"/>
  <c r="M770" i="1"/>
  <c r="K765" i="1"/>
  <c r="N764" i="1"/>
  <c r="M764" i="1"/>
  <c r="K759" i="1"/>
  <c r="K758" i="1"/>
  <c r="K757" i="1"/>
  <c r="N756" i="1"/>
  <c r="M756" i="1"/>
  <c r="N751" i="1"/>
  <c r="M751" i="1"/>
  <c r="K746" i="1"/>
  <c r="K745" i="1"/>
  <c r="N744" i="1"/>
  <c r="M744" i="1"/>
  <c r="N739" i="1"/>
  <c r="M739" i="1"/>
  <c r="M733" i="1"/>
  <c r="K733" i="1"/>
  <c r="K732" i="1"/>
  <c r="N731" i="1"/>
  <c r="M731" i="1"/>
  <c r="K727" i="1"/>
  <c r="N726" i="1"/>
  <c r="M726" i="1"/>
  <c r="N720" i="1"/>
  <c r="M720" i="1"/>
  <c r="K714" i="1"/>
  <c r="N713" i="1"/>
  <c r="M713" i="1"/>
  <c r="K707" i="1"/>
  <c r="K706" i="1"/>
  <c r="K699" i="1"/>
  <c r="K698" i="1"/>
  <c r="K697" i="1"/>
  <c r="N696" i="1"/>
  <c r="M696" i="1"/>
  <c r="N689" i="1"/>
  <c r="M689" i="1"/>
  <c r="N684" i="1"/>
  <c r="M684" i="1"/>
  <c r="K679" i="1"/>
  <c r="K678" i="1"/>
  <c r="N677" i="1"/>
  <c r="M677" i="1"/>
  <c r="N671" i="1"/>
  <c r="M671" i="1"/>
  <c r="N665" i="1"/>
  <c r="M665" i="1"/>
  <c r="K659" i="1"/>
  <c r="N658" i="1"/>
  <c r="M658" i="1"/>
  <c r="K652" i="1"/>
  <c r="N651" i="1"/>
  <c r="M651" i="1"/>
  <c r="K645" i="1"/>
  <c r="N644" i="1"/>
  <c r="M644" i="1"/>
  <c r="K638" i="1"/>
  <c r="N637" i="1"/>
  <c r="M637" i="1"/>
  <c r="K631" i="1"/>
  <c r="N630" i="1"/>
  <c r="M630" i="1"/>
  <c r="K624" i="1"/>
  <c r="N623" i="1"/>
  <c r="M623" i="1"/>
  <c r="K617" i="1"/>
  <c r="N616" i="1"/>
  <c r="M616" i="1"/>
  <c r="K611" i="1"/>
  <c r="K610" i="1"/>
  <c r="N609" i="1"/>
  <c r="M609" i="1"/>
  <c r="N603" i="1"/>
  <c r="K598" i="1"/>
  <c r="N597" i="1"/>
  <c r="M597" i="1"/>
  <c r="K597" i="1"/>
  <c r="N596" i="1"/>
  <c r="M596" i="1"/>
  <c r="K591" i="1"/>
  <c r="K590" i="1"/>
  <c r="N589" i="1"/>
  <c r="M589" i="1"/>
  <c r="N583" i="1"/>
  <c r="M583" i="1"/>
  <c r="K577" i="1"/>
  <c r="N576" i="1"/>
  <c r="M576" i="1"/>
  <c r="K570" i="1"/>
  <c r="N569" i="1"/>
  <c r="M569" i="1"/>
  <c r="K563" i="1"/>
  <c r="N562" i="1"/>
  <c r="M562" i="1"/>
  <c r="K557" i="1"/>
  <c r="N556" i="1"/>
  <c r="M556" i="1"/>
  <c r="K550" i="1"/>
  <c r="N549" i="1"/>
  <c r="M549" i="1"/>
  <c r="K543" i="1"/>
  <c r="N542" i="1"/>
  <c r="M542" i="1"/>
  <c r="N536" i="1"/>
  <c r="M536" i="1"/>
  <c r="K530" i="1"/>
  <c r="N524" i="1"/>
  <c r="M524" i="1"/>
  <c r="K517" i="1"/>
  <c r="N516" i="1"/>
  <c r="M516" i="1"/>
  <c r="K509" i="1"/>
  <c r="N508" i="1"/>
  <c r="M508" i="1"/>
  <c r="K502" i="1"/>
  <c r="N501" i="1"/>
  <c r="M501" i="1"/>
  <c r="K495" i="1"/>
  <c r="N494" i="1"/>
  <c r="M494" i="1"/>
  <c r="N488" i="1"/>
  <c r="M488" i="1"/>
  <c r="K481" i="1"/>
  <c r="K480" i="1"/>
  <c r="N479" i="1"/>
  <c r="M479" i="1"/>
  <c r="K472" i="1"/>
  <c r="N471" i="1"/>
  <c r="M471" i="1"/>
  <c r="N464" i="1"/>
  <c r="M464" i="1"/>
  <c r="K457" i="1"/>
  <c r="K456" i="1"/>
  <c r="N455" i="1"/>
  <c r="M455" i="1"/>
  <c r="K448" i="1"/>
  <c r="N447" i="1"/>
  <c r="M447" i="1"/>
  <c r="N440" i="1"/>
  <c r="M440" i="1"/>
  <c r="K433" i="1"/>
  <c r="K432" i="1"/>
  <c r="K431" i="1"/>
  <c r="N430" i="1"/>
  <c r="M430" i="1"/>
  <c r="K423" i="1"/>
  <c r="N422" i="1"/>
  <c r="M422" i="1"/>
  <c r="K415" i="1"/>
  <c r="N414" i="1"/>
  <c r="M414" i="1"/>
  <c r="M400" i="1"/>
  <c r="K400" i="1"/>
  <c r="K399" i="1"/>
  <c r="N398" i="1"/>
  <c r="M398" i="1"/>
  <c r="K391" i="1"/>
  <c r="N390" i="1"/>
  <c r="M390" i="1"/>
  <c r="K383" i="1"/>
  <c r="N382" i="1"/>
  <c r="M382" i="1"/>
  <c r="K375" i="1"/>
  <c r="M374" i="1"/>
  <c r="K374" i="1"/>
  <c r="N373" i="1"/>
  <c r="M373" i="1"/>
  <c r="N366" i="1"/>
  <c r="M366" i="1"/>
  <c r="N359" i="1"/>
  <c r="M359" i="1"/>
  <c r="N352" i="1"/>
  <c r="M352" i="1"/>
  <c r="K345" i="1"/>
  <c r="K344" i="1"/>
  <c r="N343" i="1"/>
  <c r="K336" i="1"/>
  <c r="K335" i="1"/>
  <c r="N334" i="1"/>
  <c r="M334" i="1"/>
  <c r="K328" i="1"/>
  <c r="N327" i="1"/>
  <c r="M327" i="1"/>
  <c r="K320" i="1"/>
  <c r="N319" i="1"/>
  <c r="M319" i="1"/>
  <c r="K312" i="1"/>
  <c r="N311" i="1"/>
  <c r="M311" i="1"/>
  <c r="K304" i="1"/>
  <c r="N303" i="1"/>
  <c r="M303" i="1"/>
  <c r="K296" i="1"/>
  <c r="N295" i="1"/>
  <c r="M295" i="1"/>
  <c r="K289" i="1"/>
  <c r="K288" i="1"/>
  <c r="N287" i="1"/>
  <c r="M287" i="1"/>
  <c r="K281" i="1"/>
  <c r="N280" i="1"/>
  <c r="M280" i="1"/>
  <c r="K273" i="1"/>
  <c r="N272" i="1"/>
  <c r="M272" i="1"/>
  <c r="K265" i="1"/>
  <c r="N264" i="1"/>
  <c r="M264" i="1"/>
  <c r="K257" i="1"/>
  <c r="N256" i="1"/>
  <c r="M256" i="1"/>
  <c r="K249" i="1"/>
  <c r="N248" i="1"/>
  <c r="M248" i="1"/>
  <c r="N241" i="1"/>
  <c r="K234" i="1"/>
  <c r="N233" i="1"/>
  <c r="M233" i="1"/>
  <c r="K227" i="1"/>
  <c r="K226" i="1"/>
  <c r="N225" i="1"/>
  <c r="M225" i="1"/>
  <c r="K218" i="1"/>
  <c r="N217" i="1"/>
  <c r="M217" i="1"/>
  <c r="K210" i="1"/>
  <c r="N209" i="1"/>
  <c r="M209" i="1"/>
  <c r="K202" i="1"/>
  <c r="N201" i="1"/>
  <c r="M201" i="1"/>
  <c r="K194" i="1"/>
  <c r="N193" i="1"/>
  <c r="M193" i="1"/>
  <c r="K186" i="1"/>
  <c r="N185" i="1"/>
  <c r="M185" i="1"/>
  <c r="N171" i="1"/>
  <c r="M171" i="1"/>
  <c r="K171" i="1"/>
  <c r="N170" i="1"/>
  <c r="K163" i="1"/>
  <c r="K162" i="1"/>
  <c r="N161" i="1"/>
  <c r="M161" i="1"/>
  <c r="K154" i="1"/>
  <c r="N153" i="1"/>
  <c r="M153" i="1"/>
  <c r="K146" i="1"/>
  <c r="N145" i="1"/>
  <c r="M145" i="1"/>
  <c r="K138" i="1"/>
  <c r="N137" i="1"/>
  <c r="M137" i="1"/>
  <c r="K130" i="1"/>
  <c r="N129" i="1"/>
  <c r="M129" i="1"/>
  <c r="K123" i="1"/>
  <c r="N122" i="1"/>
  <c r="M122" i="1"/>
  <c r="K115" i="1"/>
  <c r="N114" i="1"/>
  <c r="M114" i="1"/>
  <c r="K107" i="1"/>
  <c r="N106" i="1"/>
  <c r="M106" i="1"/>
  <c r="K99" i="1"/>
  <c r="N98" i="1"/>
  <c r="M98" i="1"/>
  <c r="N91" i="1"/>
  <c r="M91" i="1"/>
  <c r="K84" i="1"/>
  <c r="K83" i="1"/>
  <c r="N82" i="1"/>
  <c r="M82" i="1"/>
  <c r="K76" i="1"/>
  <c r="N75" i="1"/>
  <c r="M75" i="1"/>
  <c r="K68" i="1"/>
  <c r="N67" i="1"/>
  <c r="M67" i="1"/>
  <c r="K60" i="1"/>
  <c r="N59" i="1"/>
  <c r="M59" i="1"/>
  <c r="K52" i="1"/>
  <c r="N51" i="1"/>
  <c r="M51" i="1"/>
  <c r="N44" i="1"/>
  <c r="M44" i="1"/>
  <c r="K37" i="1"/>
  <c r="N36" i="1"/>
  <c r="M36" i="1"/>
  <c r="K29" i="1"/>
  <c r="N28" i="1"/>
  <c r="M28" i="1"/>
  <c r="K21" i="1"/>
  <c r="N20" i="1"/>
  <c r="M20" i="1"/>
  <c r="K13" i="1"/>
  <c r="N12" i="1"/>
  <c r="M12" i="1"/>
  <c r="N1259" i="1"/>
  <c r="M1259" i="1"/>
  <c r="N1256" i="1"/>
  <c r="M1256" i="1"/>
  <c r="K1252" i="1"/>
  <c r="K1249" i="1"/>
  <c r="N1248" i="1"/>
  <c r="M1248" i="1"/>
  <c r="N1239" i="1"/>
  <c r="M1239" i="1"/>
  <c r="N1234" i="1"/>
  <c r="M1234" i="1"/>
  <c r="K1231" i="1"/>
  <c r="D1230" i="1"/>
  <c r="M1230" i="1" s="1"/>
  <c r="N1229" i="1"/>
  <c r="M1229" i="1"/>
  <c r="N1225" i="1"/>
  <c r="M1225" i="1"/>
  <c r="N1221" i="1"/>
  <c r="M1221" i="1"/>
  <c r="N1218" i="1"/>
  <c r="M1218" i="1"/>
  <c r="N1214" i="1"/>
  <c r="M1214" i="1"/>
  <c r="K1211" i="1"/>
  <c r="K1210" i="1"/>
  <c r="K1207" i="1"/>
  <c r="K1204" i="1"/>
  <c r="K1201" i="1"/>
  <c r="K1198" i="1"/>
  <c r="N1194" i="1"/>
  <c r="M1194" i="1"/>
  <c r="N1191" i="1"/>
  <c r="M1191" i="1"/>
  <c r="N1187" i="1"/>
  <c r="M1187" i="1"/>
  <c r="N1183" i="1"/>
  <c r="M1183" i="1"/>
  <c r="K1180" i="1"/>
  <c r="K1177" i="1"/>
  <c r="K1175" i="1"/>
  <c r="N1172" i="1"/>
  <c r="M1172" i="1"/>
  <c r="N1169" i="1"/>
  <c r="M1169" i="1"/>
  <c r="K1166" i="1"/>
  <c r="K1164" i="1"/>
  <c r="K1161" i="1"/>
  <c r="K1159" i="1"/>
  <c r="K1108" i="1"/>
  <c r="K1107" i="1"/>
  <c r="M1106" i="1"/>
  <c r="K1106" i="1"/>
  <c r="N1105" i="1"/>
  <c r="M1105" i="1"/>
  <c r="N1103" i="1"/>
  <c r="M1103" i="1"/>
  <c r="K1101" i="1"/>
  <c r="N1100" i="1"/>
  <c r="M1100" i="1"/>
  <c r="N1098" i="1"/>
  <c r="M1098" i="1"/>
  <c r="K1096" i="1"/>
  <c r="N1095" i="1"/>
  <c r="M1095" i="1"/>
  <c r="K1093" i="1"/>
  <c r="N1092" i="1"/>
  <c r="M1092" i="1"/>
  <c r="K1089" i="1"/>
  <c r="N1088" i="1"/>
  <c r="M1088" i="1"/>
  <c r="K1085" i="1"/>
  <c r="N1084" i="1"/>
  <c r="M1084" i="1"/>
  <c r="K1080" i="1"/>
  <c r="N1079" i="1"/>
  <c r="M1079" i="1"/>
  <c r="N1075" i="1"/>
  <c r="M1075" i="1"/>
  <c r="K1071" i="1"/>
  <c r="N1070" i="1"/>
  <c r="M1070" i="1"/>
  <c r="K1066" i="1"/>
  <c r="N1065" i="1"/>
  <c r="M1065" i="1"/>
  <c r="K1060" i="1"/>
  <c r="K1059" i="1"/>
  <c r="N1058" i="1"/>
  <c r="M1058" i="1"/>
  <c r="K1054" i="1"/>
  <c r="N1053" i="1"/>
  <c r="M1053" i="1"/>
  <c r="K1049" i="1"/>
  <c r="N1048" i="1"/>
  <c r="M1048" i="1"/>
  <c r="K1044" i="1"/>
  <c r="N1043" i="1"/>
  <c r="M1043" i="1"/>
  <c r="N1039" i="1"/>
  <c r="M1039" i="1"/>
  <c r="K1034" i="1"/>
  <c r="N1033" i="1"/>
  <c r="M1033" i="1"/>
  <c r="K1028" i="1"/>
  <c r="N1027" i="1"/>
  <c r="M1027" i="1"/>
  <c r="N1022" i="1"/>
  <c r="M1022" i="1"/>
  <c r="K1017" i="1"/>
  <c r="N1016" i="1"/>
  <c r="M1016" i="1"/>
  <c r="K1011" i="1"/>
  <c r="N1010" i="1"/>
  <c r="M1010" i="1"/>
  <c r="K1005" i="1"/>
  <c r="N1004" i="1"/>
  <c r="M1004" i="1"/>
  <c r="K999" i="1"/>
  <c r="N998" i="1"/>
  <c r="M998" i="1"/>
  <c r="K993" i="1"/>
  <c r="N992" i="1"/>
  <c r="M992" i="1"/>
  <c r="K986" i="1"/>
  <c r="N985" i="1"/>
  <c r="M985" i="1"/>
  <c r="K980" i="1"/>
  <c r="N979" i="1"/>
  <c r="M979" i="1"/>
  <c r="N974" i="1"/>
  <c r="M974" i="1"/>
  <c r="K969" i="1"/>
  <c r="N968" i="1"/>
  <c r="D967" i="1"/>
  <c r="M967" i="1" s="1"/>
  <c r="N966" i="1"/>
  <c r="K958" i="1"/>
  <c r="K957" i="1"/>
  <c r="N956" i="1"/>
  <c r="M956" i="1"/>
  <c r="N950" i="1"/>
  <c r="M950" i="1"/>
  <c r="K945" i="1"/>
  <c r="N944" i="1"/>
  <c r="M939" i="1"/>
  <c r="K934" i="1"/>
  <c r="K933" i="1"/>
  <c r="N932" i="1"/>
  <c r="M932" i="1"/>
  <c r="K927" i="1"/>
  <c r="N926" i="1"/>
  <c r="M926" i="1"/>
  <c r="K921" i="1"/>
  <c r="N920" i="1"/>
  <c r="M920" i="1"/>
  <c r="K915" i="1"/>
  <c r="N914" i="1"/>
  <c r="M914" i="1"/>
  <c r="K909" i="1"/>
  <c r="N908" i="1"/>
  <c r="M908" i="1"/>
  <c r="K903" i="1"/>
  <c r="N902" i="1"/>
  <c r="M902" i="1"/>
  <c r="K897" i="1"/>
  <c r="N896" i="1"/>
  <c r="M896" i="1"/>
  <c r="K891" i="1"/>
  <c r="K890" i="1"/>
  <c r="N889" i="1"/>
  <c r="M889" i="1"/>
  <c r="N885" i="1"/>
  <c r="M885" i="1"/>
  <c r="K880" i="1"/>
  <c r="N879" i="1"/>
  <c r="M879" i="1"/>
  <c r="K875" i="1"/>
  <c r="K874" i="1"/>
  <c r="N873" i="1"/>
  <c r="K868" i="1"/>
  <c r="N867" i="1"/>
  <c r="M867" i="1"/>
  <c r="K857" i="1"/>
  <c r="N855" i="1"/>
  <c r="M855" i="1"/>
  <c r="K850" i="1"/>
  <c r="N849" i="1"/>
  <c r="M849" i="1"/>
  <c r="N843" i="1"/>
  <c r="M843" i="1"/>
  <c r="K838" i="1"/>
  <c r="K832" i="1"/>
  <c r="K831" i="1"/>
  <c r="N830" i="1"/>
  <c r="M830" i="1"/>
  <c r="K825" i="1"/>
  <c r="N824" i="1"/>
  <c r="M824" i="1"/>
  <c r="K818" i="1"/>
  <c r="K817" i="1"/>
  <c r="K816" i="1"/>
  <c r="N815" i="1"/>
  <c r="M815" i="1"/>
  <c r="N810" i="1"/>
  <c r="M810" i="1"/>
  <c r="K805" i="1"/>
  <c r="N804" i="1"/>
  <c r="M804" i="1"/>
  <c r="K799" i="1"/>
  <c r="N798" i="1"/>
  <c r="M798" i="1"/>
  <c r="K793" i="1"/>
  <c r="N792" i="1"/>
  <c r="M792" i="1"/>
  <c r="K787" i="1"/>
  <c r="N786" i="1"/>
  <c r="M786" i="1"/>
  <c r="K781" i="1"/>
  <c r="N780" i="1"/>
  <c r="M780" i="1"/>
  <c r="K775" i="1"/>
  <c r="N774" i="1"/>
  <c r="M774" i="1"/>
  <c r="K764" i="1"/>
  <c r="K763" i="1"/>
  <c r="N762" i="1"/>
  <c r="M762" i="1"/>
  <c r="N757" i="1"/>
  <c r="M757" i="1"/>
  <c r="K747" i="1"/>
  <c r="N746" i="1"/>
  <c r="M746" i="1"/>
  <c r="K739" i="1"/>
  <c r="K738" i="1"/>
  <c r="N737" i="1"/>
  <c r="M737" i="1"/>
  <c r="K731" i="1"/>
  <c r="N730" i="1"/>
  <c r="M730" i="1"/>
  <c r="K723" i="1"/>
  <c r="N722" i="1"/>
  <c r="M722" i="1"/>
  <c r="N716" i="1"/>
  <c r="M716" i="1"/>
  <c r="N710" i="1"/>
  <c r="M710" i="1"/>
  <c r="N704" i="1"/>
  <c r="M704" i="1"/>
  <c r="N698" i="1"/>
  <c r="M698" i="1"/>
  <c r="K692" i="1"/>
  <c r="N690" i="1"/>
  <c r="M690" i="1"/>
  <c r="K685" i="1"/>
  <c r="K684" i="1"/>
  <c r="N682" i="1"/>
  <c r="M682" i="1"/>
  <c r="K677" i="1"/>
  <c r="K676" i="1"/>
  <c r="K675" i="1"/>
  <c r="N674" i="1"/>
  <c r="M674" i="1"/>
  <c r="N668" i="1"/>
  <c r="M668" i="1"/>
  <c r="K668" i="1"/>
  <c r="N667" i="1"/>
  <c r="M667" i="1"/>
  <c r="N661" i="1"/>
  <c r="M661" i="1"/>
  <c r="K655" i="1"/>
  <c r="K654" i="1"/>
  <c r="N653" i="1"/>
  <c r="M653" i="1"/>
  <c r="K647" i="1"/>
  <c r="N646" i="1"/>
  <c r="M646" i="1"/>
  <c r="K641" i="1"/>
  <c r="N640" i="1"/>
  <c r="M640" i="1"/>
  <c r="K635" i="1"/>
  <c r="K634" i="1"/>
  <c r="N633" i="1"/>
  <c r="M633" i="1"/>
  <c r="K628" i="1"/>
  <c r="N627" i="1"/>
  <c r="M627" i="1"/>
  <c r="K621" i="1"/>
  <c r="N620" i="1"/>
  <c r="M620" i="1"/>
  <c r="K614" i="1"/>
  <c r="N613" i="1"/>
  <c r="M613" i="1"/>
  <c r="K607" i="1"/>
  <c r="N606" i="1"/>
  <c r="M606" i="1"/>
  <c r="K600" i="1"/>
  <c r="N599" i="1"/>
  <c r="M599" i="1"/>
  <c r="K593" i="1"/>
  <c r="N592" i="1"/>
  <c r="M592" i="1"/>
  <c r="K586" i="1"/>
  <c r="N585" i="1"/>
  <c r="M585" i="1"/>
  <c r="K579" i="1"/>
  <c r="N578" i="1"/>
  <c r="M578" i="1"/>
  <c r="K572" i="1"/>
  <c r="N571" i="1"/>
  <c r="M571" i="1"/>
  <c r="K565" i="1"/>
  <c r="N564" i="1"/>
  <c r="M564" i="1"/>
  <c r="K558" i="1"/>
  <c r="N557" i="1"/>
  <c r="M557" i="1"/>
  <c r="K552" i="1"/>
  <c r="K551" i="1"/>
  <c r="N550" i="1"/>
  <c r="M550" i="1"/>
  <c r="K544" i="1"/>
  <c r="N543" i="1"/>
  <c r="M543" i="1"/>
  <c r="K537" i="1"/>
  <c r="K536" i="1"/>
  <c r="N535" i="1"/>
  <c r="M535" i="1"/>
  <c r="N529" i="1"/>
  <c r="M529" i="1"/>
  <c r="K529" i="1"/>
  <c r="N528" i="1"/>
  <c r="M528" i="1"/>
  <c r="N523" i="1"/>
  <c r="M523" i="1"/>
  <c r="K516" i="1"/>
  <c r="N515" i="1"/>
  <c r="M515" i="1"/>
  <c r="K508" i="1"/>
  <c r="N507" i="1"/>
  <c r="M507" i="1"/>
  <c r="K501" i="1"/>
  <c r="N500" i="1"/>
  <c r="M500" i="1"/>
  <c r="K494" i="1"/>
  <c r="N493" i="1"/>
  <c r="M493" i="1"/>
  <c r="N486" i="1"/>
  <c r="M486" i="1"/>
  <c r="K479" i="1"/>
  <c r="N478" i="1"/>
  <c r="M478" i="1"/>
  <c r="K471" i="1"/>
  <c r="K470" i="1"/>
  <c r="K469" i="1"/>
  <c r="N468" i="1"/>
  <c r="M468" i="1"/>
  <c r="K462" i="1"/>
  <c r="K461" i="1"/>
  <c r="N460" i="1"/>
  <c r="M460" i="1"/>
  <c r="K453" i="1"/>
  <c r="N452" i="1"/>
  <c r="M452" i="1"/>
  <c r="K445" i="1"/>
  <c r="N444" i="1"/>
  <c r="M444" i="1"/>
  <c r="K437" i="1"/>
  <c r="N436" i="1"/>
  <c r="M436" i="1"/>
  <c r="K430" i="1"/>
  <c r="N429" i="1"/>
  <c r="M429" i="1"/>
  <c r="K422" i="1"/>
  <c r="N421" i="1"/>
  <c r="M421" i="1"/>
  <c r="K414" i="1"/>
  <c r="N413" i="1"/>
  <c r="M413" i="1"/>
  <c r="K406" i="1"/>
  <c r="N405" i="1"/>
  <c r="M405" i="1"/>
  <c r="K398" i="1"/>
  <c r="N397" i="1"/>
  <c r="M397" i="1"/>
  <c r="K390" i="1"/>
  <c r="N389" i="1"/>
  <c r="M389" i="1"/>
  <c r="K382" i="1"/>
  <c r="N381" i="1"/>
  <c r="M381" i="1"/>
  <c r="N374" i="1"/>
  <c r="K367" i="1"/>
  <c r="K366" i="1"/>
  <c r="N365" i="1"/>
  <c r="M365" i="1"/>
  <c r="K360" i="1"/>
  <c r="K359" i="1"/>
  <c r="N358" i="1"/>
  <c r="M358" i="1"/>
  <c r="N351" i="1"/>
  <c r="M351" i="1"/>
  <c r="N344" i="1"/>
  <c r="M344" i="1"/>
  <c r="K337" i="1"/>
  <c r="N336" i="1"/>
  <c r="M336" i="1"/>
  <c r="K329" i="1"/>
  <c r="N328" i="1"/>
  <c r="M328" i="1"/>
  <c r="K321" i="1"/>
  <c r="N320" i="1"/>
  <c r="M320" i="1"/>
  <c r="K313" i="1"/>
  <c r="N312" i="1"/>
  <c r="M312" i="1"/>
  <c r="K305" i="1"/>
  <c r="N304" i="1"/>
  <c r="M304" i="1"/>
  <c r="K297" i="1"/>
  <c r="N296" i="1"/>
  <c r="M296" i="1"/>
  <c r="K290" i="1"/>
  <c r="N289" i="1"/>
  <c r="M289" i="1"/>
  <c r="K282" i="1"/>
  <c r="N281" i="1"/>
  <c r="M281" i="1"/>
  <c r="K274" i="1"/>
  <c r="N273" i="1"/>
  <c r="M273" i="1"/>
  <c r="K266" i="1"/>
  <c r="N265" i="1"/>
  <c r="M265" i="1"/>
  <c r="K258" i="1"/>
  <c r="N257" i="1"/>
  <c r="M257" i="1"/>
  <c r="K250" i="1"/>
  <c r="N249" i="1"/>
  <c r="M249" i="1"/>
  <c r="K243" i="1"/>
  <c r="N242" i="1"/>
  <c r="M242" i="1"/>
  <c r="K235" i="1"/>
  <c r="N234" i="1"/>
  <c r="M234" i="1"/>
  <c r="K228" i="1"/>
  <c r="N227" i="1"/>
  <c r="M227" i="1"/>
  <c r="K220" i="1"/>
  <c r="N219" i="1"/>
  <c r="M219" i="1"/>
  <c r="K212" i="1"/>
  <c r="N211" i="1"/>
  <c r="M211" i="1"/>
  <c r="K204" i="1"/>
  <c r="N203" i="1"/>
  <c r="M203" i="1"/>
  <c r="K196" i="1"/>
  <c r="N195" i="1"/>
  <c r="M195" i="1"/>
  <c r="K188" i="1"/>
  <c r="N187" i="1"/>
  <c r="M187" i="1"/>
  <c r="K180" i="1"/>
  <c r="N179" i="1"/>
  <c r="M179" i="1"/>
  <c r="K173" i="1"/>
  <c r="K172" i="1"/>
  <c r="N164" i="1"/>
  <c r="M164" i="1"/>
  <c r="K157" i="1"/>
  <c r="N156" i="1"/>
  <c r="M156" i="1"/>
  <c r="K149" i="1"/>
  <c r="N148" i="1"/>
  <c r="M148" i="1"/>
  <c r="K141" i="1"/>
  <c r="N140" i="1"/>
  <c r="M140" i="1"/>
  <c r="K133" i="1"/>
  <c r="N132" i="1"/>
  <c r="M132" i="1"/>
  <c r="K126" i="1"/>
  <c r="N125" i="1"/>
  <c r="M125" i="1"/>
  <c r="K118" i="1"/>
  <c r="K117" i="1"/>
  <c r="N116" i="1"/>
  <c r="M116" i="1"/>
  <c r="N109" i="1"/>
  <c r="M109" i="1"/>
  <c r="K102" i="1"/>
  <c r="N101" i="1"/>
  <c r="M101" i="1"/>
  <c r="K94" i="1"/>
  <c r="K93" i="1"/>
  <c r="N92" i="1"/>
  <c r="M92" i="1"/>
  <c r="K85" i="1"/>
  <c r="N84" i="1"/>
  <c r="M84" i="1"/>
  <c r="M78" i="1"/>
  <c r="K78" i="1"/>
  <c r="N77" i="1"/>
  <c r="M77" i="1"/>
  <c r="K71" i="1"/>
  <c r="K70" i="1"/>
  <c r="K69" i="1"/>
  <c r="N68" i="1"/>
  <c r="M68" i="1"/>
  <c r="N61" i="1"/>
  <c r="M61" i="1"/>
  <c r="N54" i="1"/>
  <c r="M54" i="1"/>
  <c r="N47" i="1"/>
  <c r="M47" i="1"/>
  <c r="K40" i="1"/>
  <c r="N39" i="1"/>
  <c r="M39" i="1"/>
  <c r="K32" i="1"/>
  <c r="N31" i="1"/>
  <c r="M31" i="1"/>
  <c r="K24" i="1"/>
  <c r="N23" i="1"/>
  <c r="M23" i="1"/>
  <c r="K16" i="1"/>
  <c r="N15" i="1"/>
  <c r="K8" i="1"/>
  <c r="N7" i="1"/>
  <c r="M7" i="1"/>
  <c r="N1230" i="1" l="1"/>
  <c r="N1216" i="1"/>
  <c r="N967" i="1"/>
  <c r="N962" i="1"/>
</calcChain>
</file>

<file path=xl/sharedStrings.xml><?xml version="1.0" encoding="utf-8"?>
<sst xmlns="http://schemas.openxmlformats.org/spreadsheetml/2006/main" count="1271" uniqueCount="20">
  <si>
    <t>Nº CONTRATO</t>
  </si>
  <si>
    <t>PARCELA ATUAL</t>
  </si>
  <si>
    <t>% TAXA RELATÓRIO</t>
  </si>
  <si>
    <t>VALOR PAGO</t>
  </si>
  <si>
    <t>DATA DO RECEBIMENTO</t>
  </si>
  <si>
    <t>EMPRESA RECEBEDORA</t>
  </si>
  <si>
    <t>RECEBEDORA PREVISTA</t>
  </si>
  <si>
    <t>CLIENTE VINCULADO</t>
  </si>
  <si>
    <t>CONSULTOR VINCULADO</t>
  </si>
  <si>
    <t>VALOR CRÉDITO</t>
  </si>
  <si>
    <t>% TAXA ESPERADA</t>
  </si>
  <si>
    <t>VALOR ESPERADO</t>
  </si>
  <si>
    <t>DIFERENÇA (FALTA)</t>
  </si>
  <si>
    <t>STATUS AUDITORIA</t>
  </si>
  <si>
    <t>ALERTA SEQUÊNCIA</t>
  </si>
  <si>
    <t>LG PLANEJAMENTO</t>
  </si>
  <si>
    <t>LG SOLUÇÕES</t>
  </si>
  <si>
    <t>LG INTELIGÊNCIA</t>
  </si>
  <si>
    <t>LG BELO HORIZONTE</t>
  </si>
  <si>
    <t>PLANEJAMENTO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</si>
</sst>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%"/>
    <numFmt numFmtId="165" formatCode="0.00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 Unicode MS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4" fontId="3" fillId="2" borderId="3" xfId="1" applyFont="1" applyFill="1" applyBorder="1" applyAlignment="1">
      <alignment horizontal="center" vertical="center" wrapText="1"/>
    </xf>
    <xf numFmtId="164" fontId="3" fillId="2" borderId="3" xfId="2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6" xfId="2" applyNumberFormat="1" applyFont="1" applyFill="1" applyBorder="1" applyAlignment="1">
      <alignment horizontal="center" vertical="center"/>
    </xf>
    <xf numFmtId="44" fontId="0" fillId="0" borderId="6" xfId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6" xfId="2" applyNumberFormat="1" applyFont="1" applyBorder="1" applyAlignment="1">
      <alignment horizontal="center" vertical="center"/>
    </xf>
    <xf numFmtId="164" fontId="0" fillId="0" borderId="8" xfId="2" applyNumberFormat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44" fontId="0" fillId="0" borderId="8" xfId="1" applyFont="1" applyFill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4" fillId="0" borderId="6" xfId="1" applyNumberFormat="1" applyFont="1" applyBorder="1" applyAlignment="1">
      <alignment horizontal="center" vertical="center"/>
    </xf>
    <xf numFmtId="0" fontId="4" fillId="0" borderId="8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/>
        <top style="thin">
          <color rgb="FFE0E0E0"/>
        </top>
        <bottom style="thin">
          <color rgb="FFE0E0E0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4" formatCode="0.000%"/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5" formatCode="0.0000%"/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border outline="0">
        <top style="thin">
          <color rgb="FFE0E0E0"/>
        </top>
      </border>
    </dxf>
    <dxf>
      <border outline="0">
        <bottom style="thin">
          <color rgb="FFE0E0E0"/>
        </bottom>
      </border>
    </dxf>
    <dxf>
      <border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Meu%20Drive\ADM\FINANCEIRO\COMISS&#195;O\SISTEMA%20FINANCEIRO\Planilha_Bancorbras_Master_V36_Final.xlsx" TargetMode="External"/><Relationship Id="rId1" Type="http://schemas.openxmlformats.org/officeDocument/2006/relationships/externalLinkPath" Target="file:///I:\Meu%20Drive\ADM\FINANCEIRO\COMISS&#195;O\SISTEMA%20FINANCEIRO\Planilha_Bancorbras_Master_V36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ceiros"/>
      <sheetName val="tb_Comissionamento"/>
      <sheetName val="1. Cadastro de Vendas"/>
      <sheetName val="Motor_Comercial"/>
      <sheetName val="Comissão"/>
      <sheetName val="Motor_Plataforma"/>
      <sheetName val="Auditoria"/>
      <sheetName val="4. Projeção de Fluxo"/>
      <sheetName val="Produção"/>
      <sheetName val="5. Resumo Global"/>
      <sheetName val="6. Resumo por Contrato"/>
    </sheetNames>
    <sheetDataSet>
      <sheetData sheetId="0">
        <row r="2">
          <cell r="A2" t="str">
            <v>LG PLANEJAMENTO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CFFFA-8192-4398-8D96-04305FDD0FEA}" name="tb_Auditoria" displayName="tb_Auditoria" ref="A5:O1261" totalsRowShown="0" headerRowDxfId="19" dataDxfId="18" headerRowBorderDxfId="16" tableBorderDxfId="17" totalsRowBorderDxfId="15">
  <autoFilter ref="A5:O1261" xr:uid="{9E55AB3C-6795-43CA-9F9F-D3B87946C060}"/>
  <sortState xmlns:xlrd2="http://schemas.microsoft.com/office/spreadsheetml/2017/richdata2" ref="A6:O327">
    <sortCondition ref="A6:A1261"/>
    <sortCondition ref="B6:B1261"/>
  </sortState>
  <tableColumns count="15">
    <tableColumn id="1" xr3:uid="{459D8D87-5F86-48E7-83DA-E6570E4BACF8}" name="Nº CONTRATO" dataDxfId="14"/>
    <tableColumn id="2" xr3:uid="{D90839CD-7B65-45AC-AD92-244F126CE097}" name="PARCELA ATUAL" dataDxfId="13"/>
    <tableColumn id="3" xr3:uid="{6B9F4792-484D-40D2-8FCE-3920A3751D44}" name="% TAXA RELATÓRIO" dataDxfId="12"/>
    <tableColumn id="4" xr3:uid="{D26CE108-0A2B-4BD9-8A68-714A35F06E0E}" name="VALOR PAGO" dataDxfId="11" dataCellStyle="Moeda">
      <calculatedColumnFormula>tb_Auditoria[[#This Row],[% TAXA RELATÓRIO]]*tb_Auditoria[[#This Row],[VALOR CRÉDITO]]</calculatedColumnFormula>
    </tableColumn>
    <tableColumn id="5" xr3:uid="{C8E48893-6FF7-4ACC-BE2A-748EB5CD52AC}" name="DATA DO RECEBIMENTO" dataDxfId="10"/>
    <tableColumn id="16" xr3:uid="{66932FD6-B9CF-43C2-8DD1-092B556DC328}" name="EMPRESA RECEBEDORA" dataDxfId="9"/>
    <tableColumn id="15" xr3:uid="{9802AF7C-7B76-4301-A16F-7BC41919A68A}" name="RECEBEDORA PREVISTA" dataDxfId="8">
      <calculatedColumnFormula>IFERROR(INDEX([1]!Motor_Comissão[Empresa Recebedora],MATCH(tb_Auditoria[[#This Row],[Nº CONTRATO]]&amp;"-"&amp;tb_Auditoria[[#This Row],[PARCELA ATUAL]],[1]!Motor_Comissão[Chave], 0)),"Não previsto no fluxo")</calculatedColumnFormula>
    </tableColumn>
    <tableColumn id="6" xr3:uid="{70DDA3D5-BF6A-4215-B888-E1DE47F96B96}" name="CLIENTE VINCULADO" dataDxfId="7">
      <calculatedColumnFormula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calculatedColumnFormula>
    </tableColumn>
    <tableColumn id="13" xr3:uid="{1F58122F-4585-4543-994A-FEC540AD18E6}" name="CONSULTOR VINCULADO" dataDxfId="6">
      <calculatedColumnFormula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calculatedColumnFormula>
    </tableColumn>
    <tableColumn id="7" xr3:uid="{DB4220F6-7706-4E5D-BAD1-A555D578557D}" name="VALOR CRÉDITO" dataDxfId="5" dataCellStyle="Moeda">
      <calculatedColumnFormula>IFERROR(INDEX([1]!tb_Vendas[Crédito],MATCH(tb_Auditoria[[#This Row],[Nº CONTRATO]],[1]!tb_Vendas[Nº Contrato],0)),0)</calculatedColumnFormula>
    </tableColumn>
    <tableColumn id="8" xr3:uid="{1354170F-99E0-4660-A82D-41F4FCCFF038}" name="% TAXA ESPERADA" dataDxfId="4" dataCellStyle="Porcentagem">
      <calculatedColumnFormula>IFERROR(tb_Auditoria[[#This Row],[VALOR ESPERADO]] / tb_Auditoria[[#This Row],[VALOR CRÉDITO]], 0)</calculatedColumnFormula>
    </tableColumn>
    <tableColumn id="9" xr3:uid="{966C3C5C-D113-4701-B0EE-574DFE42F55B}" name="VALOR ESPERADO" dataDxfId="3" dataCellStyle="Moeda">
      <calculatedColumnFormula>SUMIFS([1]!Motor_Comissão[Valor Previsto],[1]!Motor_Comissão[Chave], tb_Auditoria[[#This Row],[Nº CONTRATO]]&amp;"-"&amp;tb_Auditoria[[#This Row],[PARCELA ATUAL]])</calculatedColumnFormula>
    </tableColumn>
    <tableColumn id="10" xr3:uid="{5EACC64F-921F-49FA-B4F3-1530472A398B}" name="DIFERENÇA (FALTA)" dataDxfId="2" dataCellStyle="Moeda">
      <calculatedColumnFormula>tb_Auditoria[[#This Row],[VALOR PAGO]] - tb_Auditoria[[#This Row],[VALOR ESPERADO]]</calculatedColumnFormula>
    </tableColumn>
    <tableColumn id="11" xr3:uid="{EC7353A8-2DDA-4165-A6A9-DB2E5509F402}" name="STATUS AUDITORIA" dataDxfId="1">
      <calculatedColumnFormula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calculatedColumnFormula>
    </tableColumn>
    <tableColumn id="12" xr3:uid="{DF6DC015-9F82-4F31-B932-8901A5A63480}" name="ALERTA SEQUÊNCIA" dataDxfId="0">
      <calculatedColumnFormula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420D-ECDA-4A16-AF8A-591C302AF816}">
  <dimension ref="A1:O1261"/>
  <sheetViews>
    <sheetView showGridLines="0" tabSelected="1" workbookViewId="0">
      <selection activeCell="E21" sqref="E21"/>
    </sheetView>
  </sheetViews>
  <sheetFormatPr defaultRowHeight="15"/>
  <cols>
    <col min="1" max="1" width="18.42578125" style="2" bestFit="1" customWidth="1"/>
    <col min="2" max="2" width="19.85546875" style="2" bestFit="1" customWidth="1"/>
    <col min="3" max="3" width="15.42578125" style="16" bestFit="1" customWidth="1"/>
    <col min="4" max="4" width="17.85546875" style="2" bestFit="1" customWidth="1"/>
    <col min="5" max="5" width="27.140625" style="2" bestFit="1" customWidth="1"/>
    <col min="6" max="6" width="26.42578125" style="2" bestFit="1" customWidth="1"/>
    <col min="7" max="7" width="26.42578125" style="15" hidden="1" customWidth="1"/>
    <col min="8" max="8" width="26.140625" style="15" customWidth="1"/>
    <col min="9" max="9" width="19.28515625" style="16" hidden="1" customWidth="1"/>
    <col min="10" max="10" width="20.140625" style="17" hidden="1" customWidth="1"/>
    <col min="11" max="11" width="22.140625" style="16" bestFit="1" customWidth="1"/>
    <col min="12" max="12" width="22" style="16" bestFit="1" customWidth="1"/>
    <col min="13" max="13" width="23.42578125" style="2" bestFit="1" customWidth="1"/>
    <col min="14" max="14" width="28.28515625" style="2" bestFit="1" customWidth="1"/>
    <col min="15" max="15" width="23.140625" style="2" bestFit="1" customWidth="1"/>
    <col min="16" max="16384" width="9.140625" style="2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ht="30">
      <c r="A5" s="4" t="s">
        <v>0</v>
      </c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6" t="s">
        <v>9</v>
      </c>
      <c r="K5" s="7" t="s">
        <v>10</v>
      </c>
      <c r="L5" s="6" t="s">
        <v>11</v>
      </c>
      <c r="M5" s="6" t="s">
        <v>12</v>
      </c>
      <c r="N5" s="5" t="s">
        <v>13</v>
      </c>
      <c r="O5" s="8" t="s">
        <v>14</v>
      </c>
    </row>
    <row r="6" spans="1:15">
      <c r="A6" s="9">
        <v>1155388</v>
      </c>
      <c r="B6" s="10">
        <v>1</v>
      </c>
      <c r="C6" s="11">
        <v>5.1200000000000004E-3</v>
      </c>
      <c r="D6" s="12">
        <f>tb_Auditoria[[#This Row],[% TAXA RELATÓRIO]]*tb_Auditoria[[#This Row],[VALOR CRÉDITO]]</f>
        <v>1561.7319424000002</v>
      </c>
      <c r="E6" s="13">
        <v>46008</v>
      </c>
      <c r="F6" s="14" t="s">
        <v>15</v>
      </c>
      <c r="G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305025.77</v>
      </c>
      <c r="K6" s="17">
        <f>IFERROR(tb_Auditoria[[#This Row],[VALOR ESPERADO]] / tb_Auditoria[[#This Row],[VALOR CRÉDITO]], 0)</f>
        <v>0</v>
      </c>
      <c r="L6" s="18" t="e">
        <f>SUMIFS([1]!Motor_Comissão[Valor Previsto],[1]!Motor_Comissão[Chave], tb_Auditoria[[#This Row],[Nº CONTRATO]]&amp;"-"&amp;tb_Auditoria[[#This Row],[PARCELA ATUAL]])</f>
        <v>#REF!</v>
      </c>
      <c r="M6" s="19" t="e">
        <f>tb_Auditoria[[#This Row],[VALOR PAGO]] - tb_Auditoria[[#This Row],[VALOR ESPERADO]]</f>
        <v>#REF!</v>
      </c>
      <c r="N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" spans="1:15">
      <c r="A7" s="9">
        <v>1155387</v>
      </c>
      <c r="B7" s="10">
        <v>1</v>
      </c>
      <c r="C7" s="11">
        <v>5.1200000000000004E-3</v>
      </c>
      <c r="D7" s="12">
        <f>tb_Auditoria[[#This Row],[% TAXA RELATÓRIO]]*tb_Auditoria[[#This Row],[VALOR CRÉDITO]]</f>
        <v>1561.7319424000002</v>
      </c>
      <c r="E7" s="13">
        <v>46008</v>
      </c>
      <c r="F7" s="14" t="s">
        <v>15</v>
      </c>
      <c r="G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305025.77</v>
      </c>
      <c r="K7" s="21">
        <f>IFERROR(tb_Auditoria[[#This Row],[VALOR ESPERADO]] / tb_Auditoria[[#This Row],[VALOR CRÉDITO]], 0)</f>
        <v>0</v>
      </c>
      <c r="L7" s="19" t="e">
        <f>SUMIFS([1]!Motor_Comissão[Valor Previsto],[1]!Motor_Comissão[Chave], tb_Auditoria[[#This Row],[Nº CONTRATO]]&amp;"-"&amp;tb_Auditoria[[#This Row],[PARCELA ATUAL]])</f>
        <v>#REF!</v>
      </c>
      <c r="M7" s="19" t="e">
        <f>tb_Auditoria[[#This Row],[VALOR PAGO]] - tb_Auditoria[[#This Row],[VALOR ESPERADO]]</f>
        <v>#REF!</v>
      </c>
      <c r="N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" spans="1:15">
      <c r="A8" s="9">
        <v>1155389</v>
      </c>
      <c r="B8" s="10">
        <v>1</v>
      </c>
      <c r="C8" s="11">
        <v>5.1200000000000004E-3</v>
      </c>
      <c r="D8" s="12">
        <f>tb_Auditoria[[#This Row],[% TAXA RELATÓRIO]]*tb_Auditoria[[#This Row],[VALOR CRÉDITO]]</f>
        <v>1461.7154560000001</v>
      </c>
      <c r="E8" s="13">
        <v>46008</v>
      </c>
      <c r="F8" s="14" t="s">
        <v>15</v>
      </c>
      <c r="G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285491.3</v>
      </c>
      <c r="K8" s="21">
        <f>IFERROR(tb_Auditoria[[#This Row],[VALOR ESPERADO]] / tb_Auditoria[[#This Row],[VALOR CRÉDITO]], 0)</f>
        <v>0</v>
      </c>
      <c r="L8" s="19" t="e">
        <f>SUMIFS([1]!Motor_Comissão[Valor Previsto],[1]!Motor_Comissão[Chave], tb_Auditoria[[#This Row],[Nº CONTRATO]]&amp;"-"&amp;tb_Auditoria[[#This Row],[PARCELA ATUAL]])</f>
        <v>#REF!</v>
      </c>
      <c r="M8" s="19" t="e">
        <f>tb_Auditoria[[#This Row],[VALOR PAGO]] - tb_Auditoria[[#This Row],[VALOR ESPERADO]]</f>
        <v>#REF!</v>
      </c>
      <c r="N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" spans="1:15">
      <c r="A9" s="9">
        <v>1155390</v>
      </c>
      <c r="B9" s="10">
        <v>1</v>
      </c>
      <c r="C9" s="11">
        <v>5.1200000000000004E-3</v>
      </c>
      <c r="D9" s="12">
        <f>tb_Auditoria[[#This Row],[% TAXA RELATÓRIO]]*tb_Auditoria[[#This Row],[VALOR CRÉDITO]]</f>
        <v>1461.7154560000001</v>
      </c>
      <c r="E9" s="13">
        <v>46008</v>
      </c>
      <c r="F9" s="14" t="s">
        <v>15</v>
      </c>
      <c r="G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285491.3</v>
      </c>
      <c r="K9" s="21">
        <f>IFERROR(tb_Auditoria[[#This Row],[VALOR ESPERADO]] / tb_Auditoria[[#This Row],[VALOR CRÉDITO]], 0)</f>
        <v>0</v>
      </c>
      <c r="L9" s="19" t="e">
        <f>SUMIFS([1]!Motor_Comissão[Valor Previsto],[1]!Motor_Comissão[Chave], tb_Auditoria[[#This Row],[Nº CONTRATO]]&amp;"-"&amp;tb_Auditoria[[#This Row],[PARCELA ATUAL]])</f>
        <v>#REF!</v>
      </c>
      <c r="M9" s="19" t="e">
        <f>tb_Auditoria[[#This Row],[VALOR PAGO]] - tb_Auditoria[[#This Row],[VALOR ESPERADO]]</f>
        <v>#REF!</v>
      </c>
      <c r="N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" spans="1:15">
      <c r="A10" s="9">
        <v>1155391</v>
      </c>
      <c r="B10" s="10">
        <v>1</v>
      </c>
      <c r="C10" s="11">
        <v>5.1200000000000004E-3</v>
      </c>
      <c r="D10" s="12">
        <f>tb_Auditoria[[#This Row],[% TAXA RELATÓRIO]]*tb_Auditoria[[#This Row],[VALOR CRÉDITO]]</f>
        <v>1428.5666816</v>
      </c>
      <c r="E10" s="13">
        <v>46008</v>
      </c>
      <c r="F10" s="14" t="s">
        <v>15</v>
      </c>
      <c r="G1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279016.93</v>
      </c>
      <c r="K10" s="21">
        <f>IFERROR(tb_Auditoria[[#This Row],[VALOR ESPERADO]] / tb_Auditoria[[#This Row],[VALOR CRÉDITO]], 0)</f>
        <v>0</v>
      </c>
      <c r="L10" s="19" t="e">
        <f>SUMIFS([1]!Motor_Comissão[Valor Previsto],[1]!Motor_Comissão[Chave], tb_Auditoria[[#This Row],[Nº CONTRATO]]&amp;"-"&amp;tb_Auditoria[[#This Row],[PARCELA ATUAL]])</f>
        <v>#REF!</v>
      </c>
      <c r="M10" s="19" t="e">
        <f>tb_Auditoria[[#This Row],[VALOR PAGO]] - tb_Auditoria[[#This Row],[VALOR ESPERADO]]</f>
        <v>#REF!</v>
      </c>
      <c r="N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" spans="1:15">
      <c r="A11" s="9">
        <v>1155392</v>
      </c>
      <c r="B11" s="10">
        <v>1</v>
      </c>
      <c r="C11" s="11">
        <v>5.1200000000000004E-3</v>
      </c>
      <c r="D11" s="12">
        <f>tb_Auditoria[[#This Row],[% TAXA RELATÓRIO]]*tb_Auditoria[[#This Row],[VALOR CRÉDITO]]</f>
        <v>1428.5666816</v>
      </c>
      <c r="E11" s="13">
        <v>46008</v>
      </c>
      <c r="F11" s="14" t="s">
        <v>15</v>
      </c>
      <c r="G1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279016.93</v>
      </c>
      <c r="K11" s="21">
        <f>IFERROR(tb_Auditoria[[#This Row],[VALOR ESPERADO]] / tb_Auditoria[[#This Row],[VALOR CRÉDITO]], 0)</f>
        <v>0</v>
      </c>
      <c r="L11" s="19" t="e">
        <f>SUMIFS([1]!Motor_Comissão[Valor Previsto],[1]!Motor_Comissão[Chave], tb_Auditoria[[#This Row],[Nº CONTRATO]]&amp;"-"&amp;tb_Auditoria[[#This Row],[PARCELA ATUAL]])</f>
        <v>#REF!</v>
      </c>
      <c r="M11" s="19" t="e">
        <f>tb_Auditoria[[#This Row],[VALOR PAGO]] - tb_Auditoria[[#This Row],[VALOR ESPERADO]]</f>
        <v>#REF!</v>
      </c>
      <c r="N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" spans="1:15">
      <c r="A12" s="9">
        <v>1155380</v>
      </c>
      <c r="B12" s="10">
        <v>1</v>
      </c>
      <c r="C12" s="11">
        <v>5.1200000000000004E-3</v>
      </c>
      <c r="D12" s="12">
        <f>tb_Auditoria[[#This Row],[% TAXA RELATÓRIO]]*tb_Auditoria[[#This Row],[VALOR CRÉDITO]]</f>
        <v>1536.0000000000002</v>
      </c>
      <c r="E12" s="13">
        <v>46008</v>
      </c>
      <c r="F12" s="14" t="s">
        <v>15</v>
      </c>
      <c r="G1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2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2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300000</v>
      </c>
      <c r="K12" s="21">
        <f>IFERROR(tb_Auditoria[[#This Row],[VALOR ESPERADO]] / tb_Auditoria[[#This Row],[VALOR CRÉDITO]], 0)</f>
        <v>0</v>
      </c>
      <c r="L12" s="19" t="e">
        <f>SUMIFS([1]!Motor_Comissão[Valor Previsto],[1]!Motor_Comissão[Chave], tb_Auditoria[[#This Row],[Nº CONTRATO]]&amp;"-"&amp;tb_Auditoria[[#This Row],[PARCELA ATUAL]])</f>
        <v>#REF!</v>
      </c>
      <c r="M12" s="19" t="e">
        <f>tb_Auditoria[[#This Row],[VALOR PAGO]] - tb_Auditoria[[#This Row],[VALOR ESPERADO]]</f>
        <v>#REF!</v>
      </c>
      <c r="N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" spans="1:15">
      <c r="A13" s="9">
        <v>1155383</v>
      </c>
      <c r="B13" s="10">
        <v>1</v>
      </c>
      <c r="C13" s="11">
        <v>5.1200000000000004E-3</v>
      </c>
      <c r="D13" s="12">
        <f>tb_Auditoria[[#This Row],[% TAXA RELATÓRIO]]*tb_Auditoria[[#This Row],[VALOR CRÉDITO]]</f>
        <v>1536.0000000000002</v>
      </c>
      <c r="E13" s="13">
        <v>46008</v>
      </c>
      <c r="F13" s="13" t="s">
        <v>15</v>
      </c>
      <c r="G1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3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3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300000</v>
      </c>
      <c r="K13" s="21">
        <f>IFERROR(tb_Auditoria[[#This Row],[VALOR ESPERADO]] / tb_Auditoria[[#This Row],[VALOR CRÉDITO]], 0)</f>
        <v>0</v>
      </c>
      <c r="L13" s="19" t="e">
        <f>SUMIFS([1]!Motor_Comissão[Valor Previsto],[1]!Motor_Comissão[Chave], tb_Auditoria[[#This Row],[Nº CONTRATO]]&amp;"-"&amp;tb_Auditoria[[#This Row],[PARCELA ATUAL]])</f>
        <v>#REF!</v>
      </c>
      <c r="M13" s="19" t="e">
        <f>tb_Auditoria[[#This Row],[VALOR PAGO]] - tb_Auditoria[[#This Row],[VALOR ESPERADO]]</f>
        <v>#REF!</v>
      </c>
      <c r="N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" spans="1:15">
      <c r="A14" s="9">
        <v>1155384</v>
      </c>
      <c r="B14" s="10">
        <v>1</v>
      </c>
      <c r="C14" s="11">
        <v>1.372E-2</v>
      </c>
      <c r="D14" s="12">
        <f>tb_Auditoria[[#This Row],[% TAXA RELATÓRIO]]*tb_Auditoria[[#This Row],[VALOR CRÉDITO]]</f>
        <v>4116</v>
      </c>
      <c r="E14" s="13">
        <v>46008</v>
      </c>
      <c r="F14" s="14" t="s">
        <v>15</v>
      </c>
      <c r="G1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4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4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300000</v>
      </c>
      <c r="K14" s="21">
        <f>IFERROR(tb_Auditoria[[#This Row],[VALOR ESPERADO]] / tb_Auditoria[[#This Row],[VALOR CRÉDITO]], 0)</f>
        <v>0</v>
      </c>
      <c r="L14" s="19" t="e">
        <f>SUMIFS([1]!Motor_Comissão[Valor Previsto],[1]!Motor_Comissão[Chave], tb_Auditoria[[#This Row],[Nº CONTRATO]]&amp;"-"&amp;tb_Auditoria[[#This Row],[PARCELA ATUAL]])</f>
        <v>#REF!</v>
      </c>
      <c r="M14" s="19" t="e">
        <f>tb_Auditoria[[#This Row],[VALOR PAGO]] - tb_Auditoria[[#This Row],[VALOR ESPERADO]]</f>
        <v>#REF!</v>
      </c>
      <c r="N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" spans="1:15">
      <c r="A15" s="9">
        <v>1154635</v>
      </c>
      <c r="B15" s="10">
        <v>1</v>
      </c>
      <c r="C15" s="11">
        <v>5.1200000000000004E-3</v>
      </c>
      <c r="D15" s="12">
        <f>tb_Auditoria[[#This Row],[% TAXA RELATÓRIO]]*tb_Auditoria[[#This Row],[VALOR CRÉDITO]]</f>
        <v>3069.0135552000002</v>
      </c>
      <c r="E15" s="13">
        <v>46008</v>
      </c>
      <c r="F15" s="14" t="s">
        <v>15</v>
      </c>
      <c r="G1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5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5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599416.71</v>
      </c>
      <c r="K15" s="21">
        <f>IFERROR(tb_Auditoria[[#This Row],[VALOR ESPERADO]] / tb_Auditoria[[#This Row],[VALOR CRÉDITO]], 0)</f>
        <v>0</v>
      </c>
      <c r="L15" s="19" t="e">
        <f>SUMIFS([1]!Motor_Comissão[Valor Previsto],[1]!Motor_Comissão[Chave], tb_Auditoria[[#This Row],[Nº CONTRATO]]&amp;"-"&amp;tb_Auditoria[[#This Row],[PARCELA ATUAL]])</f>
        <v>#REF!</v>
      </c>
      <c r="M15" s="19" t="e">
        <f>tb_Auditoria[[#This Row],[VALOR PAGO]] - tb_Auditoria[[#This Row],[VALOR ESPERADO]]</f>
        <v>#REF!</v>
      </c>
      <c r="N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6" spans="1:15">
      <c r="A16" s="9">
        <v>1154634</v>
      </c>
      <c r="B16" s="10">
        <v>1</v>
      </c>
      <c r="C16" s="11">
        <v>5.1200000000000004E-3</v>
      </c>
      <c r="D16" s="12">
        <f>tb_Auditoria[[#This Row],[% TAXA RELATÓRIO]]*tb_Auditoria[[#This Row],[VALOR CRÉDITO]]</f>
        <v>3069.0135552000002</v>
      </c>
      <c r="E16" s="13">
        <v>46008</v>
      </c>
      <c r="F16" s="14" t="s">
        <v>15</v>
      </c>
      <c r="G1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6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6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599416.71</v>
      </c>
      <c r="K16" s="21">
        <f>IFERROR(tb_Auditoria[[#This Row],[VALOR ESPERADO]] / tb_Auditoria[[#This Row],[VALOR CRÉDITO]], 0)</f>
        <v>0</v>
      </c>
      <c r="L16" s="19" t="e">
        <f>SUMIFS([1]!Motor_Comissão[Valor Previsto],[1]!Motor_Comissão[Chave], tb_Auditoria[[#This Row],[Nº CONTRATO]]&amp;"-"&amp;tb_Auditoria[[#This Row],[PARCELA ATUAL]])</f>
        <v>#REF!</v>
      </c>
      <c r="M16" s="19" t="e">
        <f>tb_Auditoria[[#This Row],[VALOR PAGO]] - tb_Auditoria[[#This Row],[VALOR ESPERADO]]</f>
        <v>#REF!</v>
      </c>
      <c r="N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7" spans="1:15">
      <c r="A17" s="9">
        <v>1154632</v>
      </c>
      <c r="B17" s="10">
        <v>1</v>
      </c>
      <c r="C17" s="11">
        <v>5.1200000000000004E-3</v>
      </c>
      <c r="D17" s="12">
        <f>tb_Auditoria[[#This Row],[% TAXA RELATÓRIO]]*tb_Auditoria[[#This Row],[VALOR CRÉDITO]]</f>
        <v>3069.0135552000002</v>
      </c>
      <c r="E17" s="13">
        <v>46008</v>
      </c>
      <c r="F17" s="14" t="s">
        <v>15</v>
      </c>
      <c r="G1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7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7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599416.71</v>
      </c>
      <c r="K17" s="21">
        <f>IFERROR(tb_Auditoria[[#This Row],[VALOR ESPERADO]] / tb_Auditoria[[#This Row],[VALOR CRÉDITO]], 0)</f>
        <v>0</v>
      </c>
      <c r="L17" s="19" t="e">
        <f>SUMIFS([1]!Motor_Comissão[Valor Previsto],[1]!Motor_Comissão[Chave], tb_Auditoria[[#This Row],[Nº CONTRATO]]&amp;"-"&amp;tb_Auditoria[[#This Row],[PARCELA ATUAL]])</f>
        <v>#REF!</v>
      </c>
      <c r="M17" s="19" t="e">
        <f>tb_Auditoria[[#This Row],[VALOR PAGO]] - tb_Auditoria[[#This Row],[VALOR ESPERADO]]</f>
        <v>#REF!</v>
      </c>
      <c r="N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8" spans="1:15">
      <c r="A18" s="9">
        <v>1154631</v>
      </c>
      <c r="B18" s="10">
        <v>1</v>
      </c>
      <c r="C18" s="11">
        <v>5.1200000000000004E-3</v>
      </c>
      <c r="D18" s="12">
        <f>tb_Auditoria[[#This Row],[% TAXA RELATÓRIO]]*tb_Auditoria[[#This Row],[VALOR CRÉDITO]]</f>
        <v>3069.0135552000002</v>
      </c>
      <c r="E18" s="13">
        <v>46008</v>
      </c>
      <c r="F18" s="14" t="s">
        <v>15</v>
      </c>
      <c r="G1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8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8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599416.71</v>
      </c>
      <c r="K18" s="21">
        <f>IFERROR(tb_Auditoria[[#This Row],[VALOR ESPERADO]] / tb_Auditoria[[#This Row],[VALOR CRÉDITO]], 0)</f>
        <v>0</v>
      </c>
      <c r="L18" s="19" t="e">
        <f>SUMIFS([1]!Motor_Comissão[Valor Previsto],[1]!Motor_Comissão[Chave], tb_Auditoria[[#This Row],[Nº CONTRATO]]&amp;"-"&amp;tb_Auditoria[[#This Row],[PARCELA ATUAL]])</f>
        <v>#REF!</v>
      </c>
      <c r="M18" s="19" t="e">
        <f>tb_Auditoria[[#This Row],[VALOR PAGO]] - tb_Auditoria[[#This Row],[VALOR ESPERADO]]</f>
        <v>#REF!</v>
      </c>
      <c r="N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9" spans="1:15">
      <c r="A19" s="9">
        <v>1154628</v>
      </c>
      <c r="B19" s="10">
        <v>1</v>
      </c>
      <c r="C19" s="11">
        <v>5.1200000000000004E-3</v>
      </c>
      <c r="D19" s="12">
        <f>tb_Auditoria[[#This Row],[% TAXA RELATÓRIO]]*tb_Auditoria[[#This Row],[VALOR CRÉDITO]]</f>
        <v>3069.0135552000002</v>
      </c>
      <c r="E19" s="13">
        <v>46008</v>
      </c>
      <c r="F19" s="14" t="s">
        <v>15</v>
      </c>
      <c r="G1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9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9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599416.71</v>
      </c>
      <c r="K19" s="21">
        <f>IFERROR(tb_Auditoria[[#This Row],[VALOR ESPERADO]] / tb_Auditoria[[#This Row],[VALOR CRÉDITO]], 0)</f>
        <v>0</v>
      </c>
      <c r="L19" s="19" t="e">
        <f>SUMIFS([1]!Motor_Comissão[Valor Previsto],[1]!Motor_Comissão[Chave], tb_Auditoria[[#This Row],[Nº CONTRATO]]&amp;"-"&amp;tb_Auditoria[[#This Row],[PARCELA ATUAL]])</f>
        <v>#REF!</v>
      </c>
      <c r="M19" s="19" t="e">
        <f>tb_Auditoria[[#This Row],[VALOR PAGO]] - tb_Auditoria[[#This Row],[VALOR ESPERADO]]</f>
        <v>#REF!</v>
      </c>
      <c r="N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" spans="1:15">
      <c r="A20" s="9">
        <v>1155363</v>
      </c>
      <c r="B20" s="10">
        <v>1</v>
      </c>
      <c r="C20" s="11">
        <v>5.1200000000000004E-3</v>
      </c>
      <c r="D20" s="12">
        <f>tb_Auditoria[[#This Row],[% TAXA RELATÓRIO]]*tb_Auditoria[[#This Row],[VALOR CRÉDITO]]</f>
        <v>2153.9307520000002</v>
      </c>
      <c r="E20" s="13">
        <v>46008</v>
      </c>
      <c r="F20" s="14" t="s">
        <v>15</v>
      </c>
      <c r="G2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20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0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420689.6</v>
      </c>
      <c r="K20" s="21">
        <f>IFERROR(tb_Auditoria[[#This Row],[VALOR ESPERADO]] / tb_Auditoria[[#This Row],[VALOR CRÉDITO]], 0)</f>
        <v>0</v>
      </c>
      <c r="L20" s="19" t="e">
        <f>SUMIFS([1]!Motor_Comissão[Valor Previsto],[1]!Motor_Comissão[Chave], tb_Auditoria[[#This Row],[Nº CONTRATO]]&amp;"-"&amp;tb_Auditoria[[#This Row],[PARCELA ATUAL]])</f>
        <v>#REF!</v>
      </c>
      <c r="M20" s="19" t="e">
        <f>tb_Auditoria[[#This Row],[VALOR PAGO]] - tb_Auditoria[[#This Row],[VALOR ESPERADO]]</f>
        <v>#REF!</v>
      </c>
      <c r="N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" spans="1:15">
      <c r="A21" s="9">
        <v>1155368</v>
      </c>
      <c r="B21" s="10">
        <v>1</v>
      </c>
      <c r="C21" s="11">
        <v>5.1200000000000004E-3</v>
      </c>
      <c r="D21" s="12">
        <f>tb_Auditoria[[#This Row],[% TAXA RELATÓRIO]]*tb_Auditoria[[#This Row],[VALOR CRÉDITO]]</f>
        <v>2048</v>
      </c>
      <c r="E21" s="13">
        <v>46008</v>
      </c>
      <c r="F21" s="14" t="s">
        <v>15</v>
      </c>
      <c r="G2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21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1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400000</v>
      </c>
      <c r="K21" s="21">
        <f>IFERROR(tb_Auditoria[[#This Row],[VALOR ESPERADO]] / tb_Auditoria[[#This Row],[VALOR CRÉDITO]], 0)</f>
        <v>0</v>
      </c>
      <c r="L21" s="19" t="e">
        <f>SUMIFS([1]!Motor_Comissão[Valor Previsto],[1]!Motor_Comissão[Chave], tb_Auditoria[[#This Row],[Nº CONTRATO]]&amp;"-"&amp;tb_Auditoria[[#This Row],[PARCELA ATUAL]])</f>
        <v>#REF!</v>
      </c>
      <c r="M21" s="19" t="e">
        <f>tb_Auditoria[[#This Row],[VALOR PAGO]] - tb_Auditoria[[#This Row],[VALOR ESPERADO]]</f>
        <v>#REF!</v>
      </c>
      <c r="N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" spans="1:15">
      <c r="A22" s="9">
        <v>1155371</v>
      </c>
      <c r="B22" s="10">
        <v>1</v>
      </c>
      <c r="C22" s="11">
        <v>5.1200000000000004E-3</v>
      </c>
      <c r="D22" s="12">
        <f>tb_Auditoria[[#This Row],[% TAXA RELATÓRIO]]*tb_Auditoria[[#This Row],[VALOR CRÉDITO]]</f>
        <v>2048</v>
      </c>
      <c r="E22" s="13">
        <v>46008</v>
      </c>
      <c r="F22" s="14" t="s">
        <v>15</v>
      </c>
      <c r="G2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22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2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400000</v>
      </c>
      <c r="K22" s="21">
        <f>IFERROR(tb_Auditoria[[#This Row],[VALOR ESPERADO]] / tb_Auditoria[[#This Row],[VALOR CRÉDITO]], 0)</f>
        <v>0</v>
      </c>
      <c r="L22" s="19" t="e">
        <f>SUMIFS([1]!Motor_Comissão[Valor Previsto],[1]!Motor_Comissão[Chave], tb_Auditoria[[#This Row],[Nº CONTRATO]]&amp;"-"&amp;tb_Auditoria[[#This Row],[PARCELA ATUAL]])</f>
        <v>#REF!</v>
      </c>
      <c r="M22" s="19" t="e">
        <f>tb_Auditoria[[#This Row],[VALOR PAGO]] - tb_Auditoria[[#This Row],[VALOR ESPERADO]]</f>
        <v>#REF!</v>
      </c>
      <c r="N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" spans="1:15">
      <c r="A23" s="9">
        <v>1155376</v>
      </c>
      <c r="B23" s="10">
        <v>1</v>
      </c>
      <c r="C23" s="11">
        <v>1.5E-3</v>
      </c>
      <c r="D23" s="12">
        <f>tb_Auditoria[[#This Row],[% TAXA RELATÓRIO]]*tb_Auditoria[[#This Row],[VALOR CRÉDITO]]</f>
        <v>600</v>
      </c>
      <c r="E23" s="13">
        <v>46008</v>
      </c>
      <c r="F23" s="14" t="s">
        <v>15</v>
      </c>
      <c r="G2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23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400000</v>
      </c>
      <c r="K23" s="21">
        <f>IFERROR(tb_Auditoria[[#This Row],[VALOR ESPERADO]] / tb_Auditoria[[#This Row],[VALOR CRÉDITO]], 0)</f>
        <v>0</v>
      </c>
      <c r="L23" s="19" t="e">
        <f>SUMIFS([1]!Motor_Comissão[Valor Previsto],[1]!Motor_Comissão[Chave], tb_Auditoria[[#This Row],[Nº CONTRATO]]&amp;"-"&amp;tb_Auditoria[[#This Row],[PARCELA ATUAL]])</f>
        <v>#REF!</v>
      </c>
      <c r="M23" s="19" t="e">
        <f>tb_Auditoria[[#This Row],[VALOR PAGO]] - tb_Auditoria[[#This Row],[VALOR ESPERADO]]</f>
        <v>#REF!</v>
      </c>
      <c r="N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" spans="1:15">
      <c r="A24" s="9">
        <v>1155373</v>
      </c>
      <c r="B24" s="10">
        <v>1</v>
      </c>
      <c r="C24" s="11">
        <v>1.5E-3</v>
      </c>
      <c r="D24" s="12">
        <f>tb_Auditoria[[#This Row],[% TAXA RELATÓRIO]]*tb_Auditoria[[#This Row],[VALOR CRÉDITO]]</f>
        <v>600</v>
      </c>
      <c r="E24" s="13">
        <v>46008</v>
      </c>
      <c r="F24" s="14" t="s">
        <v>15</v>
      </c>
      <c r="G2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24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400000</v>
      </c>
      <c r="K24" s="21">
        <f>IFERROR(tb_Auditoria[[#This Row],[VALOR ESPERADO]] / tb_Auditoria[[#This Row],[VALOR CRÉDITO]], 0)</f>
        <v>0</v>
      </c>
      <c r="L24" s="19" t="e">
        <f>SUMIFS([1]!Motor_Comissão[Valor Previsto],[1]!Motor_Comissão[Chave], tb_Auditoria[[#This Row],[Nº CONTRATO]]&amp;"-"&amp;tb_Auditoria[[#This Row],[PARCELA ATUAL]])</f>
        <v>#REF!</v>
      </c>
      <c r="M24" s="19" t="e">
        <f>tb_Auditoria[[#This Row],[VALOR PAGO]] - tb_Auditoria[[#This Row],[VALOR ESPERADO]]</f>
        <v>#REF!</v>
      </c>
      <c r="N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" spans="1:15">
      <c r="A25" s="9">
        <v>1154628</v>
      </c>
      <c r="B25" s="10">
        <v>2</v>
      </c>
      <c r="C25" s="11">
        <v>4.0959999999999998E-3</v>
      </c>
      <c r="D25" s="12">
        <f>tb_Auditoria[[#This Row],[% TAXA RELATÓRIO]]*tb_Auditoria[[#This Row],[VALOR CRÉDITO]]</f>
        <v>2455.2108441599999</v>
      </c>
      <c r="E25" s="13">
        <v>46038</v>
      </c>
      <c r="F25" s="14" t="s">
        <v>15</v>
      </c>
      <c r="G2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25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599416.71</v>
      </c>
      <c r="K25" s="21">
        <f>IFERROR(tb_Auditoria[[#This Row],[VALOR ESPERADO]] / tb_Auditoria[[#This Row],[VALOR CRÉDITO]], 0)</f>
        <v>0</v>
      </c>
      <c r="L25" s="19" t="e">
        <f>SUMIFS([1]!Motor_Comissão[Valor Previsto],[1]!Motor_Comissão[Chave], tb_Auditoria[[#This Row],[Nº CONTRATO]]&amp;"-"&amp;tb_Auditoria[[#This Row],[PARCELA ATUAL]])</f>
        <v>#REF!</v>
      </c>
      <c r="M25" s="19" t="e">
        <f>tb_Auditoria[[#This Row],[VALOR PAGO]] - tb_Auditoria[[#This Row],[VALOR ESPERADO]]</f>
        <v>#REF!</v>
      </c>
      <c r="N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" spans="1:15">
      <c r="A26" s="9">
        <v>1154631</v>
      </c>
      <c r="B26" s="10">
        <v>2</v>
      </c>
      <c r="C26" s="11">
        <v>4.0959999999999998E-3</v>
      </c>
      <c r="D26" s="12">
        <f>tb_Auditoria[[#This Row],[% TAXA RELATÓRIO]]*tb_Auditoria[[#This Row],[VALOR CRÉDITO]]</f>
        <v>2455.2108441599999</v>
      </c>
      <c r="E26" s="13">
        <v>46038</v>
      </c>
      <c r="F26" s="14" t="s">
        <v>15</v>
      </c>
      <c r="G2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26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599416.71</v>
      </c>
      <c r="K26" s="21">
        <f>IFERROR(tb_Auditoria[[#This Row],[VALOR ESPERADO]] / tb_Auditoria[[#This Row],[VALOR CRÉDITO]], 0)</f>
        <v>0</v>
      </c>
      <c r="L26" s="19" t="e">
        <f>SUMIFS([1]!Motor_Comissão[Valor Previsto],[1]!Motor_Comissão[Chave], tb_Auditoria[[#This Row],[Nº CONTRATO]]&amp;"-"&amp;tb_Auditoria[[#This Row],[PARCELA ATUAL]])</f>
        <v>#REF!</v>
      </c>
      <c r="M26" s="19" t="e">
        <f>tb_Auditoria[[#This Row],[VALOR PAGO]] - tb_Auditoria[[#This Row],[VALOR ESPERADO]]</f>
        <v>#REF!</v>
      </c>
      <c r="N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" spans="1:15">
      <c r="A27" s="9">
        <v>1154632</v>
      </c>
      <c r="B27" s="10">
        <v>2</v>
      </c>
      <c r="C27" s="11">
        <v>4.0959999999999998E-3</v>
      </c>
      <c r="D27" s="12">
        <f>tb_Auditoria[[#This Row],[% TAXA RELATÓRIO]]*tb_Auditoria[[#This Row],[VALOR CRÉDITO]]</f>
        <v>2455.2108441599999</v>
      </c>
      <c r="E27" s="13">
        <v>46038</v>
      </c>
      <c r="F27" s="14" t="s">
        <v>15</v>
      </c>
      <c r="G2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27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599416.71</v>
      </c>
      <c r="K27" s="21">
        <f>IFERROR(tb_Auditoria[[#This Row],[VALOR ESPERADO]] / tb_Auditoria[[#This Row],[VALOR CRÉDITO]], 0)</f>
        <v>0</v>
      </c>
      <c r="L27" s="19" t="e">
        <f>SUMIFS([1]!Motor_Comissão[Valor Previsto],[1]!Motor_Comissão[Chave], tb_Auditoria[[#This Row],[Nº CONTRATO]]&amp;"-"&amp;tb_Auditoria[[#This Row],[PARCELA ATUAL]])</f>
        <v>#REF!</v>
      </c>
      <c r="M27" s="19" t="e">
        <f>tb_Auditoria[[#This Row],[VALOR PAGO]] - tb_Auditoria[[#This Row],[VALOR ESPERADO]]</f>
        <v>#REF!</v>
      </c>
      <c r="N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" spans="1:15">
      <c r="A28" s="9">
        <v>1154634</v>
      </c>
      <c r="B28" s="10">
        <v>2</v>
      </c>
      <c r="C28" s="11">
        <v>4.0959999999999998E-3</v>
      </c>
      <c r="D28" s="12">
        <f>tb_Auditoria[[#This Row],[% TAXA RELATÓRIO]]*tb_Auditoria[[#This Row],[VALOR CRÉDITO]]</f>
        <v>2455.2108441599999</v>
      </c>
      <c r="E28" s="13">
        <v>46038</v>
      </c>
      <c r="F28" s="14" t="s">
        <v>15</v>
      </c>
      <c r="G2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28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599416.71</v>
      </c>
      <c r="K28" s="21">
        <f>IFERROR(tb_Auditoria[[#This Row],[VALOR ESPERADO]] / tb_Auditoria[[#This Row],[VALOR CRÉDITO]], 0)</f>
        <v>0</v>
      </c>
      <c r="L28" s="19" t="e">
        <f>SUMIFS([1]!Motor_Comissão[Valor Previsto],[1]!Motor_Comissão[Chave], tb_Auditoria[[#This Row],[Nº CONTRATO]]&amp;"-"&amp;tb_Auditoria[[#This Row],[PARCELA ATUAL]])</f>
        <v>#REF!</v>
      </c>
      <c r="M28" s="19" t="e">
        <f>tb_Auditoria[[#This Row],[VALOR PAGO]] - tb_Auditoria[[#This Row],[VALOR ESPERADO]]</f>
        <v>#REF!</v>
      </c>
      <c r="N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" spans="1:15">
      <c r="A29" s="9">
        <v>1154635</v>
      </c>
      <c r="B29" s="10">
        <v>2</v>
      </c>
      <c r="C29" s="11">
        <v>4.0959999999999998E-3</v>
      </c>
      <c r="D29" s="12">
        <f>tb_Auditoria[[#This Row],[% TAXA RELATÓRIO]]*tb_Auditoria[[#This Row],[VALOR CRÉDITO]]</f>
        <v>2455.2108441599999</v>
      </c>
      <c r="E29" s="13">
        <v>46038</v>
      </c>
      <c r="F29" s="14" t="s">
        <v>15</v>
      </c>
      <c r="G2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29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599416.71</v>
      </c>
      <c r="K29" s="21">
        <f>IFERROR(tb_Auditoria[[#This Row],[VALOR ESPERADO]] / tb_Auditoria[[#This Row],[VALOR CRÉDITO]], 0)</f>
        <v>0</v>
      </c>
      <c r="L29" s="19" t="e">
        <f>SUMIFS([1]!Motor_Comissão[Valor Previsto],[1]!Motor_Comissão[Chave], tb_Auditoria[[#This Row],[Nº CONTRATO]]&amp;"-"&amp;tb_Auditoria[[#This Row],[PARCELA ATUAL]])</f>
        <v>#REF!</v>
      </c>
      <c r="M29" s="19" t="e">
        <f>tb_Auditoria[[#This Row],[VALOR PAGO]] - tb_Auditoria[[#This Row],[VALOR ESPERADO]]</f>
        <v>#REF!</v>
      </c>
      <c r="N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" spans="1:15">
      <c r="A30" s="9">
        <v>1155363</v>
      </c>
      <c r="B30" s="10">
        <v>2</v>
      </c>
      <c r="C30" s="11">
        <v>4.0959999999999998E-3</v>
      </c>
      <c r="D30" s="12">
        <f>tb_Auditoria[[#This Row],[% TAXA RELATÓRIO]]*tb_Auditoria[[#This Row],[VALOR CRÉDITO]]</f>
        <v>1723.1446015999998</v>
      </c>
      <c r="E30" s="13">
        <v>46038</v>
      </c>
      <c r="F30" s="14" t="s">
        <v>15</v>
      </c>
      <c r="G3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30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420689.6</v>
      </c>
      <c r="K30" s="21">
        <f>IFERROR(tb_Auditoria[[#This Row],[VALOR ESPERADO]] / tb_Auditoria[[#This Row],[VALOR CRÉDITO]], 0)</f>
        <v>0</v>
      </c>
      <c r="L30" s="19" t="e">
        <f>SUMIFS([1]!Motor_Comissão[Valor Previsto],[1]!Motor_Comissão[Chave], tb_Auditoria[[#This Row],[Nº CONTRATO]]&amp;"-"&amp;tb_Auditoria[[#This Row],[PARCELA ATUAL]])</f>
        <v>#REF!</v>
      </c>
      <c r="M30" s="19" t="e">
        <f>tb_Auditoria[[#This Row],[VALOR PAGO]] - tb_Auditoria[[#This Row],[VALOR ESPERADO]]</f>
        <v>#REF!</v>
      </c>
      <c r="N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" spans="1:15">
      <c r="A31" s="9">
        <v>1155368</v>
      </c>
      <c r="B31" s="10">
        <v>2</v>
      </c>
      <c r="C31" s="11">
        <v>4.0959999999999998E-3</v>
      </c>
      <c r="D31" s="12">
        <f>tb_Auditoria[[#This Row],[% TAXA RELATÓRIO]]*tb_Auditoria[[#This Row],[VALOR CRÉDITO]]</f>
        <v>1638.3999999999999</v>
      </c>
      <c r="E31" s="13">
        <v>46038</v>
      </c>
      <c r="F31" s="14" t="s">
        <v>15</v>
      </c>
      <c r="G3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31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400000</v>
      </c>
      <c r="K31" s="21">
        <f>IFERROR(tb_Auditoria[[#This Row],[VALOR ESPERADO]] / tb_Auditoria[[#This Row],[VALOR CRÉDITO]], 0)</f>
        <v>0</v>
      </c>
      <c r="L31" s="19" t="e">
        <f>SUMIFS([1]!Motor_Comissão[Valor Previsto],[1]!Motor_Comissão[Chave], tb_Auditoria[[#This Row],[Nº CONTRATO]]&amp;"-"&amp;tb_Auditoria[[#This Row],[PARCELA ATUAL]])</f>
        <v>#REF!</v>
      </c>
      <c r="M31" s="19" t="e">
        <f>tb_Auditoria[[#This Row],[VALOR PAGO]] - tb_Auditoria[[#This Row],[VALOR ESPERADO]]</f>
        <v>#REF!</v>
      </c>
      <c r="N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2" spans="1:15">
      <c r="A32" s="9">
        <v>1155371</v>
      </c>
      <c r="B32" s="10">
        <v>2</v>
      </c>
      <c r="C32" s="11">
        <v>4.0959999999999998E-3</v>
      </c>
      <c r="D32" s="12">
        <f>tb_Auditoria[[#This Row],[% TAXA RELATÓRIO]]*tb_Auditoria[[#This Row],[VALOR CRÉDITO]]</f>
        <v>1638.3999999999999</v>
      </c>
      <c r="E32" s="13">
        <v>46038</v>
      </c>
      <c r="F32" s="14" t="s">
        <v>15</v>
      </c>
      <c r="G3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32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400000</v>
      </c>
      <c r="K32" s="21">
        <f>IFERROR(tb_Auditoria[[#This Row],[VALOR ESPERADO]] / tb_Auditoria[[#This Row],[VALOR CRÉDITO]], 0)</f>
        <v>0</v>
      </c>
      <c r="L32" s="19" t="e">
        <f>SUMIFS([1]!Motor_Comissão[Valor Previsto],[1]!Motor_Comissão[Chave], tb_Auditoria[[#This Row],[Nº CONTRATO]]&amp;"-"&amp;tb_Auditoria[[#This Row],[PARCELA ATUAL]])</f>
        <v>#REF!</v>
      </c>
      <c r="M32" s="19" t="e">
        <f>tb_Auditoria[[#This Row],[VALOR PAGO]] - tb_Auditoria[[#This Row],[VALOR ESPERADO]]</f>
        <v>#REF!</v>
      </c>
      <c r="N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3" spans="1:15">
      <c r="A33" s="9">
        <v>1155373</v>
      </c>
      <c r="B33" s="10">
        <v>2</v>
      </c>
      <c r="C33" s="11">
        <v>1.5E-3</v>
      </c>
      <c r="D33" s="12">
        <f>tb_Auditoria[[#This Row],[% TAXA RELATÓRIO]]*tb_Auditoria[[#This Row],[VALOR CRÉDITO]]</f>
        <v>600</v>
      </c>
      <c r="E33" s="13">
        <v>46038</v>
      </c>
      <c r="F33" s="14" t="s">
        <v>15</v>
      </c>
      <c r="G3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33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400000</v>
      </c>
      <c r="K33" s="21">
        <f>IFERROR(tb_Auditoria[[#This Row],[VALOR ESPERADO]] / tb_Auditoria[[#This Row],[VALOR CRÉDITO]], 0)</f>
        <v>0</v>
      </c>
      <c r="L33" s="19" t="e">
        <f>SUMIFS([1]!Motor_Comissão[Valor Previsto],[1]!Motor_Comissão[Chave], tb_Auditoria[[#This Row],[Nº CONTRATO]]&amp;"-"&amp;tb_Auditoria[[#This Row],[PARCELA ATUAL]])</f>
        <v>#REF!</v>
      </c>
      <c r="M33" s="19" t="e">
        <f>tb_Auditoria[[#This Row],[VALOR PAGO]] - tb_Auditoria[[#This Row],[VALOR ESPERADO]]</f>
        <v>#REF!</v>
      </c>
      <c r="N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4" spans="1:15">
      <c r="A34" s="9">
        <v>1155376</v>
      </c>
      <c r="B34" s="10">
        <v>2</v>
      </c>
      <c r="C34" s="11">
        <v>1.5E-3</v>
      </c>
      <c r="D34" s="12">
        <f>tb_Auditoria[[#This Row],[% TAXA RELATÓRIO]]*tb_Auditoria[[#This Row],[VALOR CRÉDITO]]</f>
        <v>600</v>
      </c>
      <c r="E34" s="13">
        <v>46038</v>
      </c>
      <c r="F34" s="14" t="s">
        <v>15</v>
      </c>
      <c r="G3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34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400000</v>
      </c>
      <c r="K34" s="21">
        <f>IFERROR(tb_Auditoria[[#This Row],[VALOR ESPERADO]] / tb_Auditoria[[#This Row],[VALOR CRÉDITO]], 0)</f>
        <v>0</v>
      </c>
      <c r="L34" s="19" t="e">
        <f>SUMIFS([1]!Motor_Comissão[Valor Previsto],[1]!Motor_Comissão[Chave], tb_Auditoria[[#This Row],[Nº CONTRATO]]&amp;"-"&amp;tb_Auditoria[[#This Row],[PARCELA ATUAL]])</f>
        <v>#REF!</v>
      </c>
      <c r="M34" s="19" t="e">
        <f>tb_Auditoria[[#This Row],[VALOR PAGO]] - tb_Auditoria[[#This Row],[VALOR ESPERADO]]</f>
        <v>#REF!</v>
      </c>
      <c r="N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" spans="1:15">
      <c r="A35" s="9">
        <v>1155380</v>
      </c>
      <c r="B35" s="10">
        <v>2</v>
      </c>
      <c r="C35" s="11">
        <v>4.0959999999999998E-3</v>
      </c>
      <c r="D35" s="12">
        <f>tb_Auditoria[[#This Row],[% TAXA RELATÓRIO]]*tb_Auditoria[[#This Row],[VALOR CRÉDITO]]</f>
        <v>1228.8</v>
      </c>
      <c r="E35" s="13">
        <v>46038</v>
      </c>
      <c r="F35" s="14" t="s">
        <v>15</v>
      </c>
      <c r="G3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35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300000</v>
      </c>
      <c r="K35" s="21">
        <f>IFERROR(tb_Auditoria[[#This Row],[VALOR ESPERADO]] / tb_Auditoria[[#This Row],[VALOR CRÉDITO]], 0)</f>
        <v>0</v>
      </c>
      <c r="L35" s="19" t="e">
        <f>SUMIFS([1]!Motor_Comissão[Valor Previsto],[1]!Motor_Comissão[Chave], tb_Auditoria[[#This Row],[Nº CONTRATO]]&amp;"-"&amp;tb_Auditoria[[#This Row],[PARCELA ATUAL]])</f>
        <v>#REF!</v>
      </c>
      <c r="M35" s="19" t="e">
        <f>tb_Auditoria[[#This Row],[VALOR PAGO]] - tb_Auditoria[[#This Row],[VALOR ESPERADO]]</f>
        <v>#REF!</v>
      </c>
      <c r="N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" spans="1:15">
      <c r="A36" s="9">
        <v>1155383</v>
      </c>
      <c r="B36" s="10">
        <v>2</v>
      </c>
      <c r="C36" s="11">
        <v>4.0959999999999998E-3</v>
      </c>
      <c r="D36" s="12">
        <f>tb_Auditoria[[#This Row],[% TAXA RELATÓRIO]]*tb_Auditoria[[#This Row],[VALOR CRÉDITO]]</f>
        <v>1228.8</v>
      </c>
      <c r="E36" s="13">
        <v>46038</v>
      </c>
      <c r="F36" s="14" t="s">
        <v>15</v>
      </c>
      <c r="G3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36" s="15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" s="16">
        <f>IFERROR(INDEX([1]!tb_Vendas[Crédito], MATCH(tb_Auditoria[[#This Row],[Nº CONTRATO]], [1]!tb_Vendas[Nº Contrato], 0)), IFERROR(INDEX([1]!tb_Vendas[Crédito], MATCH(tb_Auditoria[[#This Row],[Nº CONTRATO]]&amp;"", [1]!tb_Vendas[Nº Contrato], 0)), IFERROR(INDEX([1]!tb_Vendas[Crédito], MATCH(VALUE(tb_Auditoria[[#This Row],[Nº CONTRATO]]), [1]!tb_Vendas[Nº Contrato], 0)), 0)))</f>
        <v>300000</v>
      </c>
      <c r="K36" s="22">
        <f>IFERROR(tb_Auditoria[[#This Row],[VALOR ESPERADO]] / tb_Auditoria[[#This Row],[VALOR CRÉDITO]], 0)</f>
        <v>0</v>
      </c>
      <c r="L36" s="23" t="e">
        <f>SUMIFS([1]!Motor_Comissão[Valor Previsto],[1]!Motor_Comissão[Chave], tb_Auditoria[[#This Row],[Nº CONTRATO]]&amp;"-"&amp;tb_Auditoria[[#This Row],[PARCELA ATUAL]])</f>
        <v>#REF!</v>
      </c>
      <c r="M36" s="23" t="e">
        <f>tb_Auditoria[[#This Row],[VALOR PAGO]] - tb_Auditoria[[#This Row],[VALOR ESPERADO]]</f>
        <v>#REF!</v>
      </c>
      <c r="N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" spans="1:15">
      <c r="A37" s="9">
        <v>1155384</v>
      </c>
      <c r="B37" s="10">
        <v>2</v>
      </c>
      <c r="C37" s="11">
        <v>4.2560000000000002E-3</v>
      </c>
      <c r="D37" s="12">
        <f>tb_Auditoria[[#This Row],[% TAXA RELATÓRIO]]*tb_Auditoria[[#This Row],[VALOR CRÉDITO]]</f>
        <v>1276.8000000000002</v>
      </c>
      <c r="E37" s="13">
        <v>46038</v>
      </c>
      <c r="F37" s="14" t="s">
        <v>15</v>
      </c>
      <c r="G3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3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" s="19">
        <f>IFERROR(INDEX([1]!tb_Vendas[Crédito],MATCH(tb_Auditoria[[#This Row],[Nº CONTRATO]],[1]!tb_Vendas[Nº Contrato],0)),0)</f>
        <v>300000</v>
      </c>
      <c r="K37" s="21">
        <f>IFERROR(tb_Auditoria[[#This Row],[VALOR ESPERADO]] / tb_Auditoria[[#This Row],[VALOR CRÉDITO]], 0)</f>
        <v>0</v>
      </c>
      <c r="L37" s="19" t="e">
        <f>SUMIFS([1]!Motor_Comissão[Valor Previsto],[1]!Motor_Comissão[Chave], tb_Auditoria[[#This Row],[Nº CONTRATO]]&amp;"-"&amp;tb_Auditoria[[#This Row],[PARCELA ATUAL]])</f>
        <v>#REF!</v>
      </c>
      <c r="M37" s="19" t="e">
        <f>tb_Auditoria[[#This Row],[VALOR PAGO]] - tb_Auditoria[[#This Row],[VALOR ESPERADO]]</f>
        <v>#REF!</v>
      </c>
      <c r="N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" spans="1:15">
      <c r="A38" s="9">
        <v>1155387</v>
      </c>
      <c r="B38" s="10">
        <v>2</v>
      </c>
      <c r="C38" s="11">
        <v>4.0959999999999998E-3</v>
      </c>
      <c r="D38" s="12">
        <f>tb_Auditoria[[#This Row],[% TAXA RELATÓRIO]]*tb_Auditoria[[#This Row],[VALOR CRÉDITO]]</f>
        <v>1249.3855539200001</v>
      </c>
      <c r="E38" s="13">
        <v>46038</v>
      </c>
      <c r="F38" s="14" t="s">
        <v>15</v>
      </c>
      <c r="G3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3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" s="19">
        <f>IFERROR(INDEX([1]!tb_Vendas[Crédito],MATCH(tb_Auditoria[[#This Row],[Nº CONTRATO]],[1]!tb_Vendas[Nº Contrato],0)),0)</f>
        <v>305025.77</v>
      </c>
      <c r="K38" s="21">
        <f>IFERROR(tb_Auditoria[[#This Row],[VALOR ESPERADO]] / tb_Auditoria[[#This Row],[VALOR CRÉDITO]], 0)</f>
        <v>0</v>
      </c>
      <c r="L38" s="19" t="e">
        <f>SUMIFS([1]!Motor_Comissão[Valor Previsto],[1]!Motor_Comissão[Chave], tb_Auditoria[[#This Row],[Nº CONTRATO]]&amp;"-"&amp;tb_Auditoria[[#This Row],[PARCELA ATUAL]])</f>
        <v>#REF!</v>
      </c>
      <c r="M38" s="19" t="e">
        <f>tb_Auditoria[[#This Row],[VALOR PAGO]] - tb_Auditoria[[#This Row],[VALOR ESPERADO]]</f>
        <v>#REF!</v>
      </c>
      <c r="N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" spans="1:15">
      <c r="A39" s="9">
        <v>1155388</v>
      </c>
      <c r="B39" s="10">
        <v>2</v>
      </c>
      <c r="C39" s="11">
        <v>4.0959999999999998E-3</v>
      </c>
      <c r="D39" s="12">
        <f>tb_Auditoria[[#This Row],[% TAXA RELATÓRIO]]*tb_Auditoria[[#This Row],[VALOR CRÉDITO]]</f>
        <v>1249.3855539200001</v>
      </c>
      <c r="E39" s="13">
        <v>46038</v>
      </c>
      <c r="F39" s="14" t="s">
        <v>15</v>
      </c>
      <c r="G3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3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" s="19">
        <f>IFERROR(INDEX([1]!tb_Vendas[Crédito],MATCH(tb_Auditoria[[#This Row],[Nº CONTRATO]],[1]!tb_Vendas[Nº Contrato],0)),0)</f>
        <v>305025.77</v>
      </c>
      <c r="K39" s="21">
        <f>IFERROR(tb_Auditoria[[#This Row],[VALOR ESPERADO]] / tb_Auditoria[[#This Row],[VALOR CRÉDITO]], 0)</f>
        <v>0</v>
      </c>
      <c r="L39" s="19" t="e">
        <f>SUMIFS([1]!Motor_Comissão[Valor Previsto],[1]!Motor_Comissão[Chave], tb_Auditoria[[#This Row],[Nº CONTRATO]]&amp;"-"&amp;tb_Auditoria[[#This Row],[PARCELA ATUAL]])</f>
        <v>#REF!</v>
      </c>
      <c r="M39" s="19" t="e">
        <f>tb_Auditoria[[#This Row],[VALOR PAGO]] - tb_Auditoria[[#This Row],[VALOR ESPERADO]]</f>
        <v>#REF!</v>
      </c>
      <c r="N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" spans="1:15">
      <c r="A40" s="9">
        <v>1155389</v>
      </c>
      <c r="B40" s="10">
        <v>2</v>
      </c>
      <c r="C40" s="11">
        <v>4.0959999999999998E-3</v>
      </c>
      <c r="D40" s="12">
        <f>tb_Auditoria[[#This Row],[% TAXA RELATÓRIO]]*tb_Auditoria[[#This Row],[VALOR CRÉDITO]]</f>
        <v>1169.3723647999998</v>
      </c>
      <c r="E40" s="13">
        <v>46038</v>
      </c>
      <c r="F40" s="14" t="s">
        <v>15</v>
      </c>
      <c r="G4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4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" s="19">
        <f>IFERROR(INDEX([1]!tb_Vendas[Crédito],MATCH(tb_Auditoria[[#This Row],[Nº CONTRATO]],[1]!tb_Vendas[Nº Contrato],0)),0)</f>
        <v>285491.3</v>
      </c>
      <c r="K40" s="21">
        <f>IFERROR(tb_Auditoria[[#This Row],[VALOR ESPERADO]] / tb_Auditoria[[#This Row],[VALOR CRÉDITO]], 0)</f>
        <v>0</v>
      </c>
      <c r="L40" s="19" t="e">
        <f>SUMIFS([1]!Motor_Comissão[Valor Previsto],[1]!Motor_Comissão[Chave], tb_Auditoria[[#This Row],[Nº CONTRATO]]&amp;"-"&amp;tb_Auditoria[[#This Row],[PARCELA ATUAL]])</f>
        <v>#REF!</v>
      </c>
      <c r="M40" s="19" t="e">
        <f>tb_Auditoria[[#This Row],[VALOR PAGO]] - tb_Auditoria[[#This Row],[VALOR ESPERADO]]</f>
        <v>#REF!</v>
      </c>
      <c r="N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" spans="1:15">
      <c r="A41" s="9">
        <v>1155390</v>
      </c>
      <c r="B41" s="10">
        <v>2</v>
      </c>
      <c r="C41" s="11">
        <v>4.0959999999999998E-3</v>
      </c>
      <c r="D41" s="12">
        <f>tb_Auditoria[[#This Row],[% TAXA RELATÓRIO]]*tb_Auditoria[[#This Row],[VALOR CRÉDITO]]</f>
        <v>1169.3723647999998</v>
      </c>
      <c r="E41" s="13">
        <v>46038</v>
      </c>
      <c r="F41" s="14" t="s">
        <v>15</v>
      </c>
      <c r="G4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4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" s="19">
        <f>IFERROR(INDEX([1]!tb_Vendas[Crédito],MATCH(tb_Auditoria[[#This Row],[Nº CONTRATO]],[1]!tb_Vendas[Nº Contrato],0)),0)</f>
        <v>285491.3</v>
      </c>
      <c r="K41" s="21">
        <f>IFERROR(tb_Auditoria[[#This Row],[VALOR ESPERADO]] / tb_Auditoria[[#This Row],[VALOR CRÉDITO]], 0)</f>
        <v>0</v>
      </c>
      <c r="L41" s="19" t="e">
        <f>SUMIFS([1]!Motor_Comissão[Valor Previsto],[1]!Motor_Comissão[Chave], tb_Auditoria[[#This Row],[Nº CONTRATO]]&amp;"-"&amp;tb_Auditoria[[#This Row],[PARCELA ATUAL]])</f>
        <v>#REF!</v>
      </c>
      <c r="M41" s="19" t="e">
        <f>tb_Auditoria[[#This Row],[VALOR PAGO]] - tb_Auditoria[[#This Row],[VALOR ESPERADO]]</f>
        <v>#REF!</v>
      </c>
      <c r="N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" spans="1:15">
      <c r="A42" s="9">
        <v>1155391</v>
      </c>
      <c r="B42" s="10">
        <v>2</v>
      </c>
      <c r="C42" s="11">
        <v>4.0959999999999998E-3</v>
      </c>
      <c r="D42" s="12">
        <f>tb_Auditoria[[#This Row],[% TAXA RELATÓRIO]]*tb_Auditoria[[#This Row],[VALOR CRÉDITO]]</f>
        <v>1142.85334528</v>
      </c>
      <c r="E42" s="13">
        <v>46038</v>
      </c>
      <c r="F42" s="14" t="s">
        <v>15</v>
      </c>
      <c r="G4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4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" s="19">
        <f>IFERROR(INDEX([1]!tb_Vendas[Crédito],MATCH(tb_Auditoria[[#This Row],[Nº CONTRATO]],[1]!tb_Vendas[Nº Contrato],0)),0)</f>
        <v>279016.93</v>
      </c>
      <c r="K42" s="21">
        <f>IFERROR(tb_Auditoria[[#This Row],[VALOR ESPERADO]] / tb_Auditoria[[#This Row],[VALOR CRÉDITO]], 0)</f>
        <v>0</v>
      </c>
      <c r="L42" s="19" t="e">
        <f>SUMIFS([1]!Motor_Comissão[Valor Previsto],[1]!Motor_Comissão[Chave], tb_Auditoria[[#This Row],[Nº CONTRATO]]&amp;"-"&amp;tb_Auditoria[[#This Row],[PARCELA ATUAL]])</f>
        <v>#REF!</v>
      </c>
      <c r="M42" s="19" t="e">
        <f>tb_Auditoria[[#This Row],[VALOR PAGO]] - tb_Auditoria[[#This Row],[VALOR ESPERADO]]</f>
        <v>#REF!</v>
      </c>
      <c r="N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" spans="1:15">
      <c r="A43" s="9">
        <v>1155392</v>
      </c>
      <c r="B43" s="10">
        <v>2</v>
      </c>
      <c r="C43" s="11">
        <v>4.0959999999999998E-3</v>
      </c>
      <c r="D43" s="12">
        <f>tb_Auditoria[[#This Row],[% TAXA RELATÓRIO]]*tb_Auditoria[[#This Row],[VALOR CRÉDITO]]</f>
        <v>1142.85334528</v>
      </c>
      <c r="E43" s="13">
        <v>46038</v>
      </c>
      <c r="F43" s="14" t="s">
        <v>15</v>
      </c>
      <c r="G4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4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" s="19">
        <f>IFERROR(INDEX([1]!tb_Vendas[Crédito],MATCH(tb_Auditoria[[#This Row],[Nº CONTRATO]],[1]!tb_Vendas[Nº Contrato],0)),0)</f>
        <v>279016.93</v>
      </c>
      <c r="K43" s="21">
        <f>IFERROR(tb_Auditoria[[#This Row],[VALOR ESPERADO]] / tb_Auditoria[[#This Row],[VALOR CRÉDITO]], 0)</f>
        <v>0</v>
      </c>
      <c r="L43" s="19" t="e">
        <f>SUMIFS([1]!Motor_Comissão[Valor Previsto],[1]!Motor_Comissão[Chave], tb_Auditoria[[#This Row],[Nº CONTRATO]]&amp;"-"&amp;tb_Auditoria[[#This Row],[PARCELA ATUAL]])</f>
        <v>#REF!</v>
      </c>
      <c r="M43" s="19" t="e">
        <f>tb_Auditoria[[#This Row],[VALOR PAGO]] - tb_Auditoria[[#This Row],[VALOR ESPERADO]]</f>
        <v>#REF!</v>
      </c>
      <c r="N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" spans="1:15">
      <c r="A44" s="9">
        <v>1154628</v>
      </c>
      <c r="B44" s="10">
        <v>3</v>
      </c>
      <c r="C44" s="11">
        <v>4.0959999999999998E-3</v>
      </c>
      <c r="D44" s="12">
        <f>tb_Auditoria[[#This Row],[% TAXA RELATÓRIO]]*tb_Auditoria[[#This Row],[VALOR CRÉDITO]]</f>
        <v>2455.2108441599999</v>
      </c>
      <c r="E44" s="13">
        <v>46072</v>
      </c>
      <c r="F44" s="14" t="s">
        <v>15</v>
      </c>
      <c r="G4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4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" s="19">
        <f>IFERROR(INDEX([1]!tb_Vendas[Crédito],MATCH(tb_Auditoria[[#This Row],[Nº CONTRATO]],[1]!tb_Vendas[Nº Contrato],0)),0)</f>
        <v>599416.71</v>
      </c>
      <c r="K44" s="21">
        <f>IFERROR(tb_Auditoria[[#This Row],[VALOR ESPERADO]] / tb_Auditoria[[#This Row],[VALOR CRÉDITO]], 0)</f>
        <v>0</v>
      </c>
      <c r="L44" s="19" t="e">
        <f>SUMIFS([1]!Motor_Comissão[Valor Previsto],[1]!Motor_Comissão[Chave], tb_Auditoria[[#This Row],[Nº CONTRATO]]&amp;"-"&amp;tb_Auditoria[[#This Row],[PARCELA ATUAL]])</f>
        <v>#REF!</v>
      </c>
      <c r="M44" s="19" t="e">
        <f>tb_Auditoria[[#This Row],[VALOR PAGO]] - tb_Auditoria[[#This Row],[VALOR ESPERADO]]</f>
        <v>#REF!</v>
      </c>
      <c r="N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" spans="1:15">
      <c r="A45" s="9">
        <v>1154631</v>
      </c>
      <c r="B45" s="10">
        <v>3</v>
      </c>
      <c r="C45" s="11">
        <v>4.0959999999999998E-3</v>
      </c>
      <c r="D45" s="12">
        <f>tb_Auditoria[[#This Row],[% TAXA RELATÓRIO]]*tb_Auditoria[[#This Row],[VALOR CRÉDITO]]</f>
        <v>2455.2108441599999</v>
      </c>
      <c r="E45" s="13">
        <v>46072</v>
      </c>
      <c r="F45" s="14" t="s">
        <v>15</v>
      </c>
      <c r="G4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4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" s="19">
        <f>IFERROR(INDEX([1]!tb_Vendas[Crédito],MATCH(tb_Auditoria[[#This Row],[Nº CONTRATO]],[1]!tb_Vendas[Nº Contrato],0)),0)</f>
        <v>599416.71</v>
      </c>
      <c r="K45" s="21">
        <f>IFERROR(tb_Auditoria[[#This Row],[VALOR ESPERADO]] / tb_Auditoria[[#This Row],[VALOR CRÉDITO]], 0)</f>
        <v>0</v>
      </c>
      <c r="L45" s="19" t="e">
        <f>SUMIFS([1]!Motor_Comissão[Valor Previsto],[1]!Motor_Comissão[Chave], tb_Auditoria[[#This Row],[Nº CONTRATO]]&amp;"-"&amp;tb_Auditoria[[#This Row],[PARCELA ATUAL]])</f>
        <v>#REF!</v>
      </c>
      <c r="M45" s="19" t="e">
        <f>tb_Auditoria[[#This Row],[VALOR PAGO]] - tb_Auditoria[[#This Row],[VALOR ESPERADO]]</f>
        <v>#REF!</v>
      </c>
      <c r="N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" spans="1:15">
      <c r="A46" s="9">
        <v>1154632</v>
      </c>
      <c r="B46" s="10">
        <v>3</v>
      </c>
      <c r="C46" s="11">
        <v>4.0959999999999998E-3</v>
      </c>
      <c r="D46" s="12">
        <f>tb_Auditoria[[#This Row],[% TAXA RELATÓRIO]]*tb_Auditoria[[#This Row],[VALOR CRÉDITO]]</f>
        <v>2455.2108441599999</v>
      </c>
      <c r="E46" s="13">
        <v>46072</v>
      </c>
      <c r="F46" s="14" t="s">
        <v>15</v>
      </c>
      <c r="G4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4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" s="19">
        <f>IFERROR(INDEX([1]!tb_Vendas[Crédito],MATCH(tb_Auditoria[[#This Row],[Nº CONTRATO]],[1]!tb_Vendas[Nº Contrato],0)),0)</f>
        <v>599416.71</v>
      </c>
      <c r="K46" s="21">
        <f>IFERROR(tb_Auditoria[[#This Row],[VALOR ESPERADO]] / tb_Auditoria[[#This Row],[VALOR CRÉDITO]], 0)</f>
        <v>0</v>
      </c>
      <c r="L46" s="19" t="e">
        <f>SUMIFS([1]!Motor_Comissão[Valor Previsto],[1]!Motor_Comissão[Chave], tb_Auditoria[[#This Row],[Nº CONTRATO]]&amp;"-"&amp;tb_Auditoria[[#This Row],[PARCELA ATUAL]])</f>
        <v>#REF!</v>
      </c>
      <c r="M46" s="19" t="e">
        <f>tb_Auditoria[[#This Row],[VALOR PAGO]] - tb_Auditoria[[#This Row],[VALOR ESPERADO]]</f>
        <v>#REF!</v>
      </c>
      <c r="N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" spans="1:15">
      <c r="A47" s="9">
        <v>1154634</v>
      </c>
      <c r="B47" s="10">
        <v>3</v>
      </c>
      <c r="C47" s="11">
        <v>4.0959999999999998E-3</v>
      </c>
      <c r="D47" s="12">
        <f>tb_Auditoria[[#This Row],[% TAXA RELATÓRIO]]*tb_Auditoria[[#This Row],[VALOR CRÉDITO]]</f>
        <v>2455.2108441599999</v>
      </c>
      <c r="E47" s="13">
        <v>46072</v>
      </c>
      <c r="F47" s="14" t="s">
        <v>15</v>
      </c>
      <c r="G4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4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" s="19">
        <f>IFERROR(INDEX([1]!tb_Vendas[Crédito],MATCH(tb_Auditoria[[#This Row],[Nº CONTRATO]],[1]!tb_Vendas[Nº Contrato],0)),0)</f>
        <v>599416.71</v>
      </c>
      <c r="K47" s="21">
        <f>IFERROR(tb_Auditoria[[#This Row],[VALOR ESPERADO]] / tb_Auditoria[[#This Row],[VALOR CRÉDITO]], 0)</f>
        <v>0</v>
      </c>
      <c r="L47" s="19" t="e">
        <f>SUMIFS([1]!Motor_Comissão[Valor Previsto],[1]!Motor_Comissão[Chave], tb_Auditoria[[#This Row],[Nº CONTRATO]]&amp;"-"&amp;tb_Auditoria[[#This Row],[PARCELA ATUAL]])</f>
        <v>#REF!</v>
      </c>
      <c r="M47" s="19" t="e">
        <f>tb_Auditoria[[#This Row],[VALOR PAGO]] - tb_Auditoria[[#This Row],[VALOR ESPERADO]]</f>
        <v>#REF!</v>
      </c>
      <c r="N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" spans="1:15">
      <c r="A48" s="9">
        <v>1154635</v>
      </c>
      <c r="B48" s="10">
        <v>3</v>
      </c>
      <c r="C48" s="11">
        <v>4.0959999999999998E-3</v>
      </c>
      <c r="D48" s="12">
        <f>tb_Auditoria[[#This Row],[% TAXA RELATÓRIO]]*tb_Auditoria[[#This Row],[VALOR CRÉDITO]]</f>
        <v>2455.2108441599999</v>
      </c>
      <c r="E48" s="13">
        <v>46072</v>
      </c>
      <c r="F48" s="14" t="s">
        <v>15</v>
      </c>
      <c r="G4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4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" s="19">
        <f>IFERROR(INDEX([1]!tb_Vendas[Crédito],MATCH(tb_Auditoria[[#This Row],[Nº CONTRATO]],[1]!tb_Vendas[Nº Contrato],0)),0)</f>
        <v>599416.71</v>
      </c>
      <c r="K48" s="21">
        <f>IFERROR(tb_Auditoria[[#This Row],[VALOR ESPERADO]] / tb_Auditoria[[#This Row],[VALOR CRÉDITO]], 0)</f>
        <v>0</v>
      </c>
      <c r="L48" s="19" t="e">
        <f>SUMIFS([1]!Motor_Comissão[Valor Previsto],[1]!Motor_Comissão[Chave], tb_Auditoria[[#This Row],[Nº CONTRATO]]&amp;"-"&amp;tb_Auditoria[[#This Row],[PARCELA ATUAL]])</f>
        <v>#REF!</v>
      </c>
      <c r="M48" s="19" t="e">
        <f>tb_Auditoria[[#This Row],[VALOR PAGO]] - tb_Auditoria[[#This Row],[VALOR ESPERADO]]</f>
        <v>#REF!</v>
      </c>
      <c r="N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" spans="1:15">
      <c r="A49" s="9">
        <v>1155363</v>
      </c>
      <c r="B49" s="10">
        <v>3</v>
      </c>
      <c r="C49" s="11">
        <v>4.0959999999999998E-3</v>
      </c>
      <c r="D49" s="12">
        <f>tb_Auditoria[[#This Row],[% TAXA RELATÓRIO]]*tb_Auditoria[[#This Row],[VALOR CRÉDITO]]</f>
        <v>1723.1446015999998</v>
      </c>
      <c r="E49" s="13">
        <v>46072</v>
      </c>
      <c r="F49" s="14" t="s">
        <v>15</v>
      </c>
      <c r="G4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4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" s="19">
        <f>IFERROR(INDEX([1]!tb_Vendas[Crédito],MATCH(tb_Auditoria[[#This Row],[Nº CONTRATO]],[1]!tb_Vendas[Nº Contrato],0)),0)</f>
        <v>420689.6</v>
      </c>
      <c r="K49" s="21">
        <f>IFERROR(tb_Auditoria[[#This Row],[VALOR ESPERADO]] / tb_Auditoria[[#This Row],[VALOR CRÉDITO]], 0)</f>
        <v>0</v>
      </c>
      <c r="L49" s="19" t="e">
        <f>SUMIFS([1]!Motor_Comissão[Valor Previsto],[1]!Motor_Comissão[Chave], tb_Auditoria[[#This Row],[Nº CONTRATO]]&amp;"-"&amp;tb_Auditoria[[#This Row],[PARCELA ATUAL]])</f>
        <v>#REF!</v>
      </c>
      <c r="M49" s="19" t="e">
        <f>tb_Auditoria[[#This Row],[VALOR PAGO]] - tb_Auditoria[[#This Row],[VALOR ESPERADO]]</f>
        <v>#REF!</v>
      </c>
      <c r="N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" spans="1:15">
      <c r="A50" s="9">
        <v>1155368</v>
      </c>
      <c r="B50" s="10">
        <v>3</v>
      </c>
      <c r="C50" s="11">
        <v>4.0959999999999998E-3</v>
      </c>
      <c r="D50" s="12">
        <f>tb_Auditoria[[#This Row],[% TAXA RELATÓRIO]]*tb_Auditoria[[#This Row],[VALOR CRÉDITO]]</f>
        <v>1638.3999999999999</v>
      </c>
      <c r="E50" s="13">
        <v>46072</v>
      </c>
      <c r="F50" s="14" t="s">
        <v>15</v>
      </c>
      <c r="G5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5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" s="19">
        <f>IFERROR(INDEX([1]!tb_Vendas[Crédito],MATCH(tb_Auditoria[[#This Row],[Nº CONTRATO]],[1]!tb_Vendas[Nº Contrato],0)),0)</f>
        <v>400000</v>
      </c>
      <c r="K50" s="21">
        <f>IFERROR(tb_Auditoria[[#This Row],[VALOR ESPERADO]] / tb_Auditoria[[#This Row],[VALOR CRÉDITO]], 0)</f>
        <v>0</v>
      </c>
      <c r="L50" s="19" t="e">
        <f>SUMIFS([1]!Motor_Comissão[Valor Previsto],[1]!Motor_Comissão[Chave], tb_Auditoria[[#This Row],[Nº CONTRATO]]&amp;"-"&amp;tb_Auditoria[[#This Row],[PARCELA ATUAL]])</f>
        <v>#REF!</v>
      </c>
      <c r="M50" s="19" t="e">
        <f>tb_Auditoria[[#This Row],[VALOR PAGO]] - tb_Auditoria[[#This Row],[VALOR ESPERADO]]</f>
        <v>#REF!</v>
      </c>
      <c r="N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" spans="1:15">
      <c r="A51" s="9">
        <v>1155371</v>
      </c>
      <c r="B51" s="10">
        <v>3</v>
      </c>
      <c r="C51" s="11">
        <v>4.0959999999999998E-3</v>
      </c>
      <c r="D51" s="12">
        <f>tb_Auditoria[[#This Row],[% TAXA RELATÓRIO]]*tb_Auditoria[[#This Row],[VALOR CRÉDITO]]</f>
        <v>1638.3999999999999</v>
      </c>
      <c r="E51" s="13">
        <v>46072</v>
      </c>
      <c r="F51" s="14" t="s">
        <v>15</v>
      </c>
      <c r="G5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51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" s="23">
        <f>IFERROR(INDEX([1]!tb_Vendas[Crédito],MATCH(tb_Auditoria[[#This Row],[Nº CONTRATO]],[1]!tb_Vendas[Nº Contrato],0)),0)</f>
        <v>400000</v>
      </c>
      <c r="K51" s="22">
        <f>IFERROR(tb_Auditoria[[#This Row],[VALOR ESPERADO]] / tb_Auditoria[[#This Row],[VALOR CRÉDITO]], 0)</f>
        <v>0</v>
      </c>
      <c r="L51" s="23" t="e">
        <f>SUMIFS([1]!Motor_Comissão[Valor Previsto],[1]!Motor_Comissão[Chave], tb_Auditoria[[#This Row],[Nº CONTRATO]]&amp;"-"&amp;tb_Auditoria[[#This Row],[PARCELA ATUAL]])</f>
        <v>#REF!</v>
      </c>
      <c r="M51" s="23" t="e">
        <f>tb_Auditoria[[#This Row],[VALOR PAGO]] - tb_Auditoria[[#This Row],[VALOR ESPERADO]]</f>
        <v>#REF!</v>
      </c>
      <c r="N51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" spans="1:15">
      <c r="A52" s="9">
        <v>1155373</v>
      </c>
      <c r="B52" s="10">
        <v>3</v>
      </c>
      <c r="C52" s="11">
        <v>1.5E-3</v>
      </c>
      <c r="D52" s="12">
        <f>tb_Auditoria[[#This Row],[% TAXA RELATÓRIO]]*tb_Auditoria[[#This Row],[VALOR CRÉDITO]]</f>
        <v>600</v>
      </c>
      <c r="E52" s="13">
        <v>46072</v>
      </c>
      <c r="F52" s="14" t="s">
        <v>15</v>
      </c>
      <c r="G5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5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" s="19">
        <f>IFERROR(INDEX([1]!tb_Vendas[Crédito],MATCH(tb_Auditoria[[#This Row],[Nº CONTRATO]],[1]!tb_Vendas[Nº Contrato],0)),0)</f>
        <v>400000</v>
      </c>
      <c r="K52" s="21">
        <f>IFERROR(tb_Auditoria[[#This Row],[VALOR ESPERADO]] / tb_Auditoria[[#This Row],[VALOR CRÉDITO]], 0)</f>
        <v>0</v>
      </c>
      <c r="L52" s="19" t="e">
        <f>SUMIFS([1]!Motor_Comissão[Valor Previsto],[1]!Motor_Comissão[Chave], tb_Auditoria[[#This Row],[Nº CONTRATO]]&amp;"-"&amp;tb_Auditoria[[#This Row],[PARCELA ATUAL]])</f>
        <v>#REF!</v>
      </c>
      <c r="M52" s="19" t="e">
        <f>tb_Auditoria[[#This Row],[VALOR PAGO]] - tb_Auditoria[[#This Row],[VALOR ESPERADO]]</f>
        <v>#REF!</v>
      </c>
      <c r="N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" spans="1:15">
      <c r="A53" s="9">
        <v>1155376</v>
      </c>
      <c r="B53" s="10">
        <v>3</v>
      </c>
      <c r="C53" s="11">
        <v>1.5E-3</v>
      </c>
      <c r="D53" s="12">
        <f>tb_Auditoria[[#This Row],[% TAXA RELATÓRIO]]*tb_Auditoria[[#This Row],[VALOR CRÉDITO]]</f>
        <v>600</v>
      </c>
      <c r="E53" s="13">
        <v>46072</v>
      </c>
      <c r="F53" s="14" t="s">
        <v>15</v>
      </c>
      <c r="G5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5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" s="19">
        <f>IFERROR(INDEX([1]!tb_Vendas[Crédito],MATCH(tb_Auditoria[[#This Row],[Nº CONTRATO]],[1]!tb_Vendas[Nº Contrato],0)),0)</f>
        <v>400000</v>
      </c>
      <c r="K53" s="21">
        <f>IFERROR(tb_Auditoria[[#This Row],[VALOR ESPERADO]] / tb_Auditoria[[#This Row],[VALOR CRÉDITO]], 0)</f>
        <v>0</v>
      </c>
      <c r="L53" s="19" t="e">
        <f>SUMIFS([1]!Motor_Comissão[Valor Previsto],[1]!Motor_Comissão[Chave], tb_Auditoria[[#This Row],[Nº CONTRATO]]&amp;"-"&amp;tb_Auditoria[[#This Row],[PARCELA ATUAL]])</f>
        <v>#REF!</v>
      </c>
      <c r="M53" s="19" t="e">
        <f>tb_Auditoria[[#This Row],[VALOR PAGO]] - tb_Auditoria[[#This Row],[VALOR ESPERADO]]</f>
        <v>#REF!</v>
      </c>
      <c r="N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" spans="1:15">
      <c r="A54" s="9">
        <v>1155380</v>
      </c>
      <c r="B54" s="10">
        <v>3</v>
      </c>
      <c r="C54" s="11">
        <v>4.0959999999999998E-3</v>
      </c>
      <c r="D54" s="12">
        <f>tb_Auditoria[[#This Row],[% TAXA RELATÓRIO]]*tb_Auditoria[[#This Row],[VALOR CRÉDITO]]</f>
        <v>1228.8</v>
      </c>
      <c r="E54" s="13">
        <v>46072</v>
      </c>
      <c r="F54" s="14" t="s">
        <v>15</v>
      </c>
      <c r="G5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5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" s="19">
        <f>IFERROR(INDEX([1]!tb_Vendas[Crédito],MATCH(tb_Auditoria[[#This Row],[Nº CONTRATO]],[1]!tb_Vendas[Nº Contrato],0)),0)</f>
        <v>300000</v>
      </c>
      <c r="K54" s="21">
        <f>IFERROR(tb_Auditoria[[#This Row],[VALOR ESPERADO]] / tb_Auditoria[[#This Row],[VALOR CRÉDITO]], 0)</f>
        <v>0</v>
      </c>
      <c r="L54" s="19" t="e">
        <f>SUMIFS([1]!Motor_Comissão[Valor Previsto],[1]!Motor_Comissão[Chave], tb_Auditoria[[#This Row],[Nº CONTRATO]]&amp;"-"&amp;tb_Auditoria[[#This Row],[PARCELA ATUAL]])</f>
        <v>#REF!</v>
      </c>
      <c r="M54" s="19" t="e">
        <f>tb_Auditoria[[#This Row],[VALOR PAGO]] - tb_Auditoria[[#This Row],[VALOR ESPERADO]]</f>
        <v>#REF!</v>
      </c>
      <c r="N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" spans="1:15">
      <c r="A55" s="9">
        <v>1155383</v>
      </c>
      <c r="B55" s="10">
        <v>3</v>
      </c>
      <c r="C55" s="11">
        <v>4.0959999999999998E-3</v>
      </c>
      <c r="D55" s="12">
        <f>tb_Auditoria[[#This Row],[% TAXA RELATÓRIO]]*tb_Auditoria[[#This Row],[VALOR CRÉDITO]]</f>
        <v>1228.8</v>
      </c>
      <c r="E55" s="13">
        <v>46072</v>
      </c>
      <c r="F55" s="14" t="s">
        <v>15</v>
      </c>
      <c r="G5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5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" s="19">
        <f>IFERROR(INDEX([1]!tb_Vendas[Crédito],MATCH(tb_Auditoria[[#This Row],[Nº CONTRATO]],[1]!tb_Vendas[Nº Contrato],0)),0)</f>
        <v>300000</v>
      </c>
      <c r="K55" s="21">
        <f>IFERROR(tb_Auditoria[[#This Row],[VALOR ESPERADO]] / tb_Auditoria[[#This Row],[VALOR CRÉDITO]], 0)</f>
        <v>0</v>
      </c>
      <c r="L55" s="19" t="e">
        <f>SUMIFS([1]!Motor_Comissão[Valor Previsto],[1]!Motor_Comissão[Chave], tb_Auditoria[[#This Row],[Nº CONTRATO]]&amp;"-"&amp;tb_Auditoria[[#This Row],[PARCELA ATUAL]])</f>
        <v>#REF!</v>
      </c>
      <c r="M55" s="19" t="e">
        <f>tb_Auditoria[[#This Row],[VALOR PAGO]] - tb_Auditoria[[#This Row],[VALOR ESPERADO]]</f>
        <v>#REF!</v>
      </c>
      <c r="N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" spans="1:15">
      <c r="A56" s="9">
        <v>1155384</v>
      </c>
      <c r="B56" s="10">
        <v>3</v>
      </c>
      <c r="C56" s="11">
        <v>4.2560000000000002E-3</v>
      </c>
      <c r="D56" s="12">
        <f>tb_Auditoria[[#This Row],[% TAXA RELATÓRIO]]*tb_Auditoria[[#This Row],[VALOR CRÉDITO]]</f>
        <v>1276.8000000000002</v>
      </c>
      <c r="E56" s="13">
        <v>46072</v>
      </c>
      <c r="F56" s="14" t="s">
        <v>15</v>
      </c>
      <c r="G5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5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" s="19">
        <f>IFERROR(INDEX([1]!tb_Vendas[Crédito],MATCH(tb_Auditoria[[#This Row],[Nº CONTRATO]],[1]!tb_Vendas[Nº Contrato],0)),0)</f>
        <v>300000</v>
      </c>
      <c r="K56" s="21">
        <f>IFERROR(tb_Auditoria[[#This Row],[VALOR ESPERADO]] / tb_Auditoria[[#This Row],[VALOR CRÉDITO]], 0)</f>
        <v>0</v>
      </c>
      <c r="L56" s="19" t="e">
        <f>SUMIFS([1]!Motor_Comissão[Valor Previsto],[1]!Motor_Comissão[Chave], tb_Auditoria[[#This Row],[Nº CONTRATO]]&amp;"-"&amp;tb_Auditoria[[#This Row],[PARCELA ATUAL]])</f>
        <v>#REF!</v>
      </c>
      <c r="M56" s="19" t="e">
        <f>tb_Auditoria[[#This Row],[VALOR PAGO]] - tb_Auditoria[[#This Row],[VALOR ESPERADO]]</f>
        <v>#REF!</v>
      </c>
      <c r="N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" spans="1:15">
      <c r="A57" s="9">
        <v>1155387</v>
      </c>
      <c r="B57" s="10">
        <v>3</v>
      </c>
      <c r="C57" s="11">
        <v>4.0959999999999998E-3</v>
      </c>
      <c r="D57" s="12">
        <f>tb_Auditoria[[#This Row],[% TAXA RELATÓRIO]]*tb_Auditoria[[#This Row],[VALOR CRÉDITO]]</f>
        <v>1249.3855539200001</v>
      </c>
      <c r="E57" s="13">
        <v>46072</v>
      </c>
      <c r="F57" s="14" t="s">
        <v>15</v>
      </c>
      <c r="G5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5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" s="19">
        <f>IFERROR(INDEX([1]!tb_Vendas[Crédito],MATCH(tb_Auditoria[[#This Row],[Nº CONTRATO]],[1]!tb_Vendas[Nº Contrato],0)),0)</f>
        <v>305025.77</v>
      </c>
      <c r="K57" s="21">
        <f>IFERROR(tb_Auditoria[[#This Row],[VALOR ESPERADO]] / tb_Auditoria[[#This Row],[VALOR CRÉDITO]], 0)</f>
        <v>0</v>
      </c>
      <c r="L57" s="19" t="e">
        <f>SUMIFS([1]!Motor_Comissão[Valor Previsto],[1]!Motor_Comissão[Chave], tb_Auditoria[[#This Row],[Nº CONTRATO]]&amp;"-"&amp;tb_Auditoria[[#This Row],[PARCELA ATUAL]])</f>
        <v>#REF!</v>
      </c>
      <c r="M57" s="19" t="e">
        <f>tb_Auditoria[[#This Row],[VALOR PAGO]] - tb_Auditoria[[#This Row],[VALOR ESPERADO]]</f>
        <v>#REF!</v>
      </c>
      <c r="N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" spans="1:15">
      <c r="A58" s="9">
        <v>1155388</v>
      </c>
      <c r="B58" s="10">
        <v>3</v>
      </c>
      <c r="C58" s="11">
        <v>4.0959999999999998E-3</v>
      </c>
      <c r="D58" s="12">
        <f>tb_Auditoria[[#This Row],[% TAXA RELATÓRIO]]*tb_Auditoria[[#This Row],[VALOR CRÉDITO]]</f>
        <v>1249.3855539200001</v>
      </c>
      <c r="E58" s="13">
        <v>46072</v>
      </c>
      <c r="F58" s="14" t="s">
        <v>15</v>
      </c>
      <c r="G5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5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" s="19">
        <f>IFERROR(INDEX([1]!tb_Vendas[Crédito],MATCH(tb_Auditoria[[#This Row],[Nº CONTRATO]],[1]!tb_Vendas[Nº Contrato],0)),0)</f>
        <v>305025.77</v>
      </c>
      <c r="K58" s="21">
        <f>IFERROR(tb_Auditoria[[#This Row],[VALOR ESPERADO]] / tb_Auditoria[[#This Row],[VALOR CRÉDITO]], 0)</f>
        <v>0</v>
      </c>
      <c r="L58" s="19" t="e">
        <f>SUMIFS([1]!Motor_Comissão[Valor Previsto],[1]!Motor_Comissão[Chave], tb_Auditoria[[#This Row],[Nº CONTRATO]]&amp;"-"&amp;tb_Auditoria[[#This Row],[PARCELA ATUAL]])</f>
        <v>#REF!</v>
      </c>
      <c r="M58" s="19" t="e">
        <f>tb_Auditoria[[#This Row],[VALOR PAGO]] - tb_Auditoria[[#This Row],[VALOR ESPERADO]]</f>
        <v>#REF!</v>
      </c>
      <c r="N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" spans="1:15">
      <c r="A59" s="9">
        <v>1155389</v>
      </c>
      <c r="B59" s="10">
        <v>3</v>
      </c>
      <c r="C59" s="11">
        <v>4.0959999999999998E-3</v>
      </c>
      <c r="D59" s="12">
        <f>tb_Auditoria[[#This Row],[% TAXA RELATÓRIO]]*tb_Auditoria[[#This Row],[VALOR CRÉDITO]]</f>
        <v>1169.3723647999998</v>
      </c>
      <c r="E59" s="13">
        <v>46072</v>
      </c>
      <c r="F59" s="14" t="s">
        <v>15</v>
      </c>
      <c r="G5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5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" s="19">
        <f>IFERROR(INDEX([1]!tb_Vendas[Crédito],MATCH(tb_Auditoria[[#This Row],[Nº CONTRATO]],[1]!tb_Vendas[Nº Contrato],0)),0)</f>
        <v>285491.3</v>
      </c>
      <c r="K59" s="21">
        <f>IFERROR(tb_Auditoria[[#This Row],[VALOR ESPERADO]] / tb_Auditoria[[#This Row],[VALOR CRÉDITO]], 0)</f>
        <v>0</v>
      </c>
      <c r="L59" s="19" t="e">
        <f>SUMIFS([1]!Motor_Comissão[Valor Previsto],[1]!Motor_Comissão[Chave], tb_Auditoria[[#This Row],[Nº CONTRATO]]&amp;"-"&amp;tb_Auditoria[[#This Row],[PARCELA ATUAL]])</f>
        <v>#REF!</v>
      </c>
      <c r="M59" s="19" t="e">
        <f>tb_Auditoria[[#This Row],[VALOR PAGO]] - tb_Auditoria[[#This Row],[VALOR ESPERADO]]</f>
        <v>#REF!</v>
      </c>
      <c r="N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" spans="1:15">
      <c r="A60" s="9">
        <v>1155390</v>
      </c>
      <c r="B60" s="10">
        <v>3</v>
      </c>
      <c r="C60" s="11">
        <v>4.0959999999999998E-3</v>
      </c>
      <c r="D60" s="12">
        <f>tb_Auditoria[[#This Row],[% TAXA RELATÓRIO]]*tb_Auditoria[[#This Row],[VALOR CRÉDITO]]</f>
        <v>1169.3723647999998</v>
      </c>
      <c r="E60" s="13">
        <v>46072</v>
      </c>
      <c r="F60" s="14" t="s">
        <v>15</v>
      </c>
      <c r="G6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" s="19">
        <f>IFERROR(INDEX([1]!tb_Vendas[Crédito],MATCH(tb_Auditoria[[#This Row],[Nº CONTRATO]],[1]!tb_Vendas[Nº Contrato],0)),0)</f>
        <v>285491.3</v>
      </c>
      <c r="K60" s="21">
        <f>IFERROR(tb_Auditoria[[#This Row],[VALOR ESPERADO]] / tb_Auditoria[[#This Row],[VALOR CRÉDITO]], 0)</f>
        <v>0</v>
      </c>
      <c r="L60" s="19" t="e">
        <f>SUMIFS([1]!Motor_Comissão[Valor Previsto],[1]!Motor_Comissão[Chave], tb_Auditoria[[#This Row],[Nº CONTRATO]]&amp;"-"&amp;tb_Auditoria[[#This Row],[PARCELA ATUAL]])</f>
        <v>#REF!</v>
      </c>
      <c r="M60" s="19" t="e">
        <f>tb_Auditoria[[#This Row],[VALOR PAGO]] - tb_Auditoria[[#This Row],[VALOR ESPERADO]]</f>
        <v>#REF!</v>
      </c>
      <c r="N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" spans="1:15">
      <c r="A61" s="9">
        <v>1155391</v>
      </c>
      <c r="B61" s="10">
        <v>3</v>
      </c>
      <c r="C61" s="11">
        <v>4.0959999999999998E-3</v>
      </c>
      <c r="D61" s="12">
        <f>tb_Auditoria[[#This Row],[% TAXA RELATÓRIO]]*tb_Auditoria[[#This Row],[VALOR CRÉDITO]]</f>
        <v>1142.85334528</v>
      </c>
      <c r="E61" s="13">
        <v>46072</v>
      </c>
      <c r="F61" s="14" t="s">
        <v>15</v>
      </c>
      <c r="G6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" s="19">
        <f>IFERROR(INDEX([1]!tb_Vendas[Crédito],MATCH(tb_Auditoria[[#This Row],[Nº CONTRATO]],[1]!tb_Vendas[Nº Contrato],0)),0)</f>
        <v>279016.93</v>
      </c>
      <c r="K61" s="21">
        <f>IFERROR(tb_Auditoria[[#This Row],[VALOR ESPERADO]] / tb_Auditoria[[#This Row],[VALOR CRÉDITO]], 0)</f>
        <v>0</v>
      </c>
      <c r="L61" s="19" t="e">
        <f>SUMIFS([1]!Motor_Comissão[Valor Previsto],[1]!Motor_Comissão[Chave], tb_Auditoria[[#This Row],[Nº CONTRATO]]&amp;"-"&amp;tb_Auditoria[[#This Row],[PARCELA ATUAL]])</f>
        <v>#REF!</v>
      </c>
      <c r="M61" s="19" t="e">
        <f>tb_Auditoria[[#This Row],[VALOR PAGO]] - tb_Auditoria[[#This Row],[VALOR ESPERADO]]</f>
        <v>#REF!</v>
      </c>
      <c r="N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" spans="1:15">
      <c r="A62" s="9">
        <v>1155392</v>
      </c>
      <c r="B62" s="10">
        <v>3</v>
      </c>
      <c r="C62" s="11">
        <v>4.0959999999999998E-3</v>
      </c>
      <c r="D62" s="12">
        <f>tb_Auditoria[[#This Row],[% TAXA RELATÓRIO]]*tb_Auditoria[[#This Row],[VALOR CRÉDITO]]</f>
        <v>1142.85334528</v>
      </c>
      <c r="E62" s="13">
        <v>46072</v>
      </c>
      <c r="F62" s="14" t="s">
        <v>15</v>
      </c>
      <c r="G6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" s="19">
        <f>IFERROR(INDEX([1]!tb_Vendas[Crédito],MATCH(tb_Auditoria[[#This Row],[Nº CONTRATO]],[1]!tb_Vendas[Nº Contrato],0)),0)</f>
        <v>279016.93</v>
      </c>
      <c r="K62" s="21">
        <f>IFERROR(tb_Auditoria[[#This Row],[VALOR ESPERADO]] / tb_Auditoria[[#This Row],[VALOR CRÉDITO]], 0)</f>
        <v>0</v>
      </c>
      <c r="L62" s="19" t="e">
        <f>SUMIFS([1]!Motor_Comissão[Valor Previsto],[1]!Motor_Comissão[Chave], tb_Auditoria[[#This Row],[Nº CONTRATO]]&amp;"-"&amp;tb_Auditoria[[#This Row],[PARCELA ATUAL]])</f>
        <v>#REF!</v>
      </c>
      <c r="M62" s="19" t="e">
        <f>tb_Auditoria[[#This Row],[VALOR PAGO]] - tb_Auditoria[[#This Row],[VALOR ESPERADO]]</f>
        <v>#REF!</v>
      </c>
      <c r="N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" spans="1:15">
      <c r="A63" s="9">
        <v>1155388</v>
      </c>
      <c r="B63" s="10">
        <v>4</v>
      </c>
      <c r="C63" s="11">
        <v>4.0959999999999998E-3</v>
      </c>
      <c r="D63" s="12">
        <f>tb_Auditoria[[#This Row],[% TAXA RELATÓRIO]]*tb_Auditoria[[#This Row],[VALOR CRÉDITO]]</f>
        <v>1249.3855539200001</v>
      </c>
      <c r="E63" s="13">
        <v>46100</v>
      </c>
      <c r="F63" s="14" t="s">
        <v>15</v>
      </c>
      <c r="G6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" s="19">
        <f>IFERROR(INDEX([1]!tb_Vendas[Crédito],MATCH(tb_Auditoria[[#This Row],[Nº CONTRATO]],[1]!tb_Vendas[Nº Contrato],0)),0)</f>
        <v>305025.77</v>
      </c>
      <c r="K63" s="21">
        <f>IFERROR(tb_Auditoria[[#This Row],[VALOR ESPERADO]] / tb_Auditoria[[#This Row],[VALOR CRÉDITO]], 0)</f>
        <v>0</v>
      </c>
      <c r="L63" s="19" t="e">
        <f>SUMIFS([1]!Motor_Comissão[Valor Previsto],[1]!Motor_Comissão[Chave], tb_Auditoria[[#This Row],[Nº CONTRATO]]&amp;"-"&amp;tb_Auditoria[[#This Row],[PARCELA ATUAL]])</f>
        <v>#REF!</v>
      </c>
      <c r="M63" s="19" t="e">
        <f>tb_Auditoria[[#This Row],[VALOR PAGO]] - tb_Auditoria[[#This Row],[VALOR ESPERADO]]</f>
        <v>#REF!</v>
      </c>
      <c r="N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" spans="1:15">
      <c r="A64" s="9">
        <v>1155387</v>
      </c>
      <c r="B64" s="10">
        <v>4</v>
      </c>
      <c r="C64" s="11">
        <v>4.0959999999999998E-3</v>
      </c>
      <c r="D64" s="12">
        <f>tb_Auditoria[[#This Row],[% TAXA RELATÓRIO]]*tb_Auditoria[[#This Row],[VALOR CRÉDITO]]</f>
        <v>1249.3855539200001</v>
      </c>
      <c r="E64" s="13">
        <v>46100</v>
      </c>
      <c r="F64" s="14" t="s">
        <v>15</v>
      </c>
      <c r="G6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" s="19">
        <f>IFERROR(INDEX([1]!tb_Vendas[Crédito],MATCH(tb_Auditoria[[#This Row],[Nº CONTRATO]],[1]!tb_Vendas[Nº Contrato],0)),0)</f>
        <v>305025.77</v>
      </c>
      <c r="K64" s="21">
        <f>IFERROR(tb_Auditoria[[#This Row],[VALOR ESPERADO]] / tb_Auditoria[[#This Row],[VALOR CRÉDITO]], 0)</f>
        <v>0</v>
      </c>
      <c r="L64" s="19" t="e">
        <f>SUMIFS([1]!Motor_Comissão[Valor Previsto],[1]!Motor_Comissão[Chave], tb_Auditoria[[#This Row],[Nº CONTRATO]]&amp;"-"&amp;tb_Auditoria[[#This Row],[PARCELA ATUAL]])</f>
        <v>#REF!</v>
      </c>
      <c r="M64" s="19" t="e">
        <f>tb_Auditoria[[#This Row],[VALOR PAGO]] - tb_Auditoria[[#This Row],[VALOR ESPERADO]]</f>
        <v>#REF!</v>
      </c>
      <c r="N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" spans="1:15">
      <c r="A65" s="9">
        <v>1155389</v>
      </c>
      <c r="B65" s="10">
        <v>4</v>
      </c>
      <c r="C65" s="11">
        <v>4.0959999999999998E-3</v>
      </c>
      <c r="D65" s="12">
        <f>tb_Auditoria[[#This Row],[% TAXA RELATÓRIO]]*tb_Auditoria[[#This Row],[VALOR CRÉDITO]]</f>
        <v>1169.3723647999998</v>
      </c>
      <c r="E65" s="13">
        <v>46100</v>
      </c>
      <c r="F65" s="14" t="s">
        <v>15</v>
      </c>
      <c r="G6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" s="19">
        <f>IFERROR(INDEX([1]!tb_Vendas[Crédito],MATCH(tb_Auditoria[[#This Row],[Nº CONTRATO]],[1]!tb_Vendas[Nº Contrato],0)),0)</f>
        <v>285491.3</v>
      </c>
      <c r="K65" s="21">
        <f>IFERROR(tb_Auditoria[[#This Row],[VALOR ESPERADO]] / tb_Auditoria[[#This Row],[VALOR CRÉDITO]], 0)</f>
        <v>0</v>
      </c>
      <c r="L65" s="19" t="e">
        <f>SUMIFS([1]!Motor_Comissão[Valor Previsto],[1]!Motor_Comissão[Chave], tb_Auditoria[[#This Row],[Nº CONTRATO]]&amp;"-"&amp;tb_Auditoria[[#This Row],[PARCELA ATUAL]])</f>
        <v>#REF!</v>
      </c>
      <c r="M65" s="19" t="e">
        <f>tb_Auditoria[[#This Row],[VALOR PAGO]] - tb_Auditoria[[#This Row],[VALOR ESPERADO]]</f>
        <v>#REF!</v>
      </c>
      <c r="N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" spans="1:15">
      <c r="A66" s="9">
        <v>1155390</v>
      </c>
      <c r="B66" s="10">
        <v>4</v>
      </c>
      <c r="C66" s="11">
        <v>4.0959999999999998E-3</v>
      </c>
      <c r="D66" s="12">
        <f>tb_Auditoria[[#This Row],[% TAXA RELATÓRIO]]*tb_Auditoria[[#This Row],[VALOR CRÉDITO]]</f>
        <v>1169.3723647999998</v>
      </c>
      <c r="E66" s="13">
        <v>46100</v>
      </c>
      <c r="F66" s="14" t="s">
        <v>15</v>
      </c>
      <c r="G6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" s="19">
        <f>IFERROR(INDEX([1]!tb_Vendas[Crédito],MATCH(tb_Auditoria[[#This Row],[Nº CONTRATO]],[1]!tb_Vendas[Nº Contrato],0)),0)</f>
        <v>285491.3</v>
      </c>
      <c r="K66" s="21">
        <f>IFERROR(tb_Auditoria[[#This Row],[VALOR ESPERADO]] / tb_Auditoria[[#This Row],[VALOR CRÉDITO]], 0)</f>
        <v>0</v>
      </c>
      <c r="L66" s="19" t="e">
        <f>SUMIFS([1]!Motor_Comissão[Valor Previsto],[1]!Motor_Comissão[Chave], tb_Auditoria[[#This Row],[Nº CONTRATO]]&amp;"-"&amp;tb_Auditoria[[#This Row],[PARCELA ATUAL]])</f>
        <v>#REF!</v>
      </c>
      <c r="M66" s="19" t="e">
        <f>tb_Auditoria[[#This Row],[VALOR PAGO]] - tb_Auditoria[[#This Row],[VALOR ESPERADO]]</f>
        <v>#REF!</v>
      </c>
      <c r="N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" spans="1:15">
      <c r="A67" s="9">
        <v>1155391</v>
      </c>
      <c r="B67" s="10">
        <v>4</v>
      </c>
      <c r="C67" s="11">
        <v>4.0959999999999998E-3</v>
      </c>
      <c r="D67" s="12">
        <f>tb_Auditoria[[#This Row],[% TAXA RELATÓRIO]]*tb_Auditoria[[#This Row],[VALOR CRÉDITO]]</f>
        <v>1142.85334528</v>
      </c>
      <c r="E67" s="13">
        <v>46100</v>
      </c>
      <c r="F67" s="14" t="s">
        <v>15</v>
      </c>
      <c r="G6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" s="19">
        <f>IFERROR(INDEX([1]!tb_Vendas[Crédito],MATCH(tb_Auditoria[[#This Row],[Nº CONTRATO]],[1]!tb_Vendas[Nº Contrato],0)),0)</f>
        <v>279016.93</v>
      </c>
      <c r="K67" s="21">
        <f>IFERROR(tb_Auditoria[[#This Row],[VALOR ESPERADO]] / tb_Auditoria[[#This Row],[VALOR CRÉDITO]], 0)</f>
        <v>0</v>
      </c>
      <c r="L67" s="19" t="e">
        <f>SUMIFS([1]!Motor_Comissão[Valor Previsto],[1]!Motor_Comissão[Chave], tb_Auditoria[[#This Row],[Nº CONTRATO]]&amp;"-"&amp;tb_Auditoria[[#This Row],[PARCELA ATUAL]])</f>
        <v>#REF!</v>
      </c>
      <c r="M67" s="19" t="e">
        <f>tb_Auditoria[[#This Row],[VALOR PAGO]] - tb_Auditoria[[#This Row],[VALOR ESPERADO]]</f>
        <v>#REF!</v>
      </c>
      <c r="N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" spans="1:15">
      <c r="A68" s="9">
        <v>1155392</v>
      </c>
      <c r="B68" s="10">
        <v>4</v>
      </c>
      <c r="C68" s="11">
        <v>4.0959999999999998E-3</v>
      </c>
      <c r="D68" s="12">
        <f>tb_Auditoria[[#This Row],[% TAXA RELATÓRIO]]*tb_Auditoria[[#This Row],[VALOR CRÉDITO]]</f>
        <v>1142.85334528</v>
      </c>
      <c r="E68" s="13">
        <v>46100</v>
      </c>
      <c r="F68" s="14" t="s">
        <v>15</v>
      </c>
      <c r="G6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" s="19">
        <f>IFERROR(INDEX([1]!tb_Vendas[Crédito],MATCH(tb_Auditoria[[#This Row],[Nº CONTRATO]],[1]!tb_Vendas[Nº Contrato],0)),0)</f>
        <v>279016.93</v>
      </c>
      <c r="K68" s="21">
        <f>IFERROR(tb_Auditoria[[#This Row],[VALOR ESPERADO]] / tb_Auditoria[[#This Row],[VALOR CRÉDITO]], 0)</f>
        <v>0</v>
      </c>
      <c r="L68" s="19" t="e">
        <f>SUMIFS([1]!Motor_Comissão[Valor Previsto],[1]!Motor_Comissão[Chave], tb_Auditoria[[#This Row],[Nº CONTRATO]]&amp;"-"&amp;tb_Auditoria[[#This Row],[PARCELA ATUAL]])</f>
        <v>#REF!</v>
      </c>
      <c r="M68" s="19" t="e">
        <f>tb_Auditoria[[#This Row],[VALOR PAGO]] - tb_Auditoria[[#This Row],[VALOR ESPERADO]]</f>
        <v>#REF!</v>
      </c>
      <c r="N6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" spans="1:15">
      <c r="A69" s="9">
        <v>1155380</v>
      </c>
      <c r="B69" s="10">
        <v>4</v>
      </c>
      <c r="C69" s="11">
        <v>4.0959999999999998E-3</v>
      </c>
      <c r="D69" s="12">
        <f>tb_Auditoria[[#This Row],[% TAXA RELATÓRIO]]*tb_Auditoria[[#This Row],[VALOR CRÉDITO]]</f>
        <v>1228.8</v>
      </c>
      <c r="E69" s="13">
        <v>46100</v>
      </c>
      <c r="F69" s="14" t="s">
        <v>15</v>
      </c>
      <c r="G6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6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" s="19">
        <f>IFERROR(INDEX([1]!tb_Vendas[Crédito],MATCH(tb_Auditoria[[#This Row],[Nº CONTRATO]],[1]!tb_Vendas[Nº Contrato],0)),0)</f>
        <v>300000</v>
      </c>
      <c r="K69" s="21">
        <f>IFERROR(tb_Auditoria[[#This Row],[VALOR ESPERADO]] / tb_Auditoria[[#This Row],[VALOR CRÉDITO]], 0)</f>
        <v>0</v>
      </c>
      <c r="L69" s="19" t="e">
        <f>SUMIFS([1]!Motor_Comissão[Valor Previsto],[1]!Motor_Comissão[Chave], tb_Auditoria[[#This Row],[Nº CONTRATO]]&amp;"-"&amp;tb_Auditoria[[#This Row],[PARCELA ATUAL]])</f>
        <v>#REF!</v>
      </c>
      <c r="M69" s="19" t="e">
        <f>tb_Auditoria[[#This Row],[VALOR PAGO]] - tb_Auditoria[[#This Row],[VALOR ESPERADO]]</f>
        <v>#REF!</v>
      </c>
      <c r="N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" spans="1:15">
      <c r="A70" s="9">
        <v>1155383</v>
      </c>
      <c r="B70" s="10">
        <v>4</v>
      </c>
      <c r="C70" s="11">
        <v>4.0959999999999998E-3</v>
      </c>
      <c r="D70" s="12">
        <f>tb_Auditoria[[#This Row],[% TAXA RELATÓRIO]]*tb_Auditoria[[#This Row],[VALOR CRÉDITO]]</f>
        <v>1228.8</v>
      </c>
      <c r="E70" s="13">
        <v>46100</v>
      </c>
      <c r="F70" s="14" t="s">
        <v>15</v>
      </c>
      <c r="G7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" s="19">
        <f>IFERROR(INDEX([1]!tb_Vendas[Crédito],MATCH(tb_Auditoria[[#This Row],[Nº CONTRATO]],[1]!tb_Vendas[Nº Contrato],0)),0)</f>
        <v>300000</v>
      </c>
      <c r="K70" s="21">
        <f>IFERROR(tb_Auditoria[[#This Row],[VALOR ESPERADO]] / tb_Auditoria[[#This Row],[VALOR CRÉDITO]], 0)</f>
        <v>0</v>
      </c>
      <c r="L70" s="19" t="e">
        <f>SUMIFS([1]!Motor_Comissão[Valor Previsto],[1]!Motor_Comissão[Chave], tb_Auditoria[[#This Row],[Nº CONTRATO]]&amp;"-"&amp;tb_Auditoria[[#This Row],[PARCELA ATUAL]])</f>
        <v>#REF!</v>
      </c>
      <c r="M70" s="19" t="e">
        <f>tb_Auditoria[[#This Row],[VALOR PAGO]] - tb_Auditoria[[#This Row],[VALOR ESPERADO]]</f>
        <v>#REF!</v>
      </c>
      <c r="N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" spans="1:15">
      <c r="A71" s="9">
        <v>1155384</v>
      </c>
      <c r="B71" s="10">
        <v>4</v>
      </c>
      <c r="C71" s="11">
        <v>4.2560000000000002E-3</v>
      </c>
      <c r="D71" s="12">
        <f>tb_Auditoria[[#This Row],[% TAXA RELATÓRIO]]*tb_Auditoria[[#This Row],[VALOR CRÉDITO]]</f>
        <v>1276.8000000000002</v>
      </c>
      <c r="E71" s="13">
        <v>46100</v>
      </c>
      <c r="F71" s="14" t="s">
        <v>15</v>
      </c>
      <c r="G7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" s="19">
        <f>IFERROR(INDEX([1]!tb_Vendas[Crédito],MATCH(tb_Auditoria[[#This Row],[Nº CONTRATO]],[1]!tb_Vendas[Nº Contrato],0)),0)</f>
        <v>300000</v>
      </c>
      <c r="K71" s="21">
        <f>IFERROR(tb_Auditoria[[#This Row],[VALOR ESPERADO]] / tb_Auditoria[[#This Row],[VALOR CRÉDITO]], 0)</f>
        <v>0</v>
      </c>
      <c r="L71" s="19" t="e">
        <f>SUMIFS([1]!Motor_Comissão[Valor Previsto],[1]!Motor_Comissão[Chave], tb_Auditoria[[#This Row],[Nº CONTRATO]]&amp;"-"&amp;tb_Auditoria[[#This Row],[PARCELA ATUAL]])</f>
        <v>#REF!</v>
      </c>
      <c r="M71" s="19" t="e">
        <f>tb_Auditoria[[#This Row],[VALOR PAGO]] - tb_Auditoria[[#This Row],[VALOR ESPERADO]]</f>
        <v>#REF!</v>
      </c>
      <c r="N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" spans="1:15">
      <c r="A72" s="9">
        <v>1154635</v>
      </c>
      <c r="B72" s="10">
        <v>4</v>
      </c>
      <c r="C72" s="11">
        <v>4.0959999999999998E-3</v>
      </c>
      <c r="D72" s="12">
        <f>tb_Auditoria[[#This Row],[% TAXA RELATÓRIO]]*tb_Auditoria[[#This Row],[VALOR CRÉDITO]]</f>
        <v>2455.2108441599999</v>
      </c>
      <c r="E72" s="13">
        <v>46100</v>
      </c>
      <c r="F72" s="14" t="s">
        <v>15</v>
      </c>
      <c r="G7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" s="19">
        <f>IFERROR(INDEX([1]!tb_Vendas[Crédito],MATCH(tb_Auditoria[[#This Row],[Nº CONTRATO]],[1]!tb_Vendas[Nº Contrato],0)),0)</f>
        <v>599416.71</v>
      </c>
      <c r="K72" s="21">
        <f>IFERROR(tb_Auditoria[[#This Row],[VALOR ESPERADO]] / tb_Auditoria[[#This Row],[VALOR CRÉDITO]], 0)</f>
        <v>0</v>
      </c>
      <c r="L72" s="19" t="e">
        <f>SUMIFS([1]!Motor_Comissão[Valor Previsto],[1]!Motor_Comissão[Chave], tb_Auditoria[[#This Row],[Nº CONTRATO]]&amp;"-"&amp;tb_Auditoria[[#This Row],[PARCELA ATUAL]])</f>
        <v>#REF!</v>
      </c>
      <c r="M72" s="19" t="e">
        <f>tb_Auditoria[[#This Row],[VALOR PAGO]] - tb_Auditoria[[#This Row],[VALOR ESPERADO]]</f>
        <v>#REF!</v>
      </c>
      <c r="N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" spans="1:15">
      <c r="A73" s="9">
        <v>1154634</v>
      </c>
      <c r="B73" s="10">
        <v>4</v>
      </c>
      <c r="C73" s="11">
        <v>4.0959999999999998E-3</v>
      </c>
      <c r="D73" s="12">
        <f>tb_Auditoria[[#This Row],[% TAXA RELATÓRIO]]*tb_Auditoria[[#This Row],[VALOR CRÉDITO]]</f>
        <v>2455.2108441599999</v>
      </c>
      <c r="E73" s="13">
        <v>46100</v>
      </c>
      <c r="F73" s="14" t="s">
        <v>15</v>
      </c>
      <c r="G7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" s="19">
        <f>IFERROR(INDEX([1]!tb_Vendas[Crédito],MATCH(tb_Auditoria[[#This Row],[Nº CONTRATO]],[1]!tb_Vendas[Nº Contrato],0)),0)</f>
        <v>599416.71</v>
      </c>
      <c r="K73" s="21">
        <f>IFERROR(tb_Auditoria[[#This Row],[VALOR ESPERADO]] / tb_Auditoria[[#This Row],[VALOR CRÉDITO]], 0)</f>
        <v>0</v>
      </c>
      <c r="L73" s="19" t="e">
        <f>SUMIFS([1]!Motor_Comissão[Valor Previsto],[1]!Motor_Comissão[Chave], tb_Auditoria[[#This Row],[Nº CONTRATO]]&amp;"-"&amp;tb_Auditoria[[#This Row],[PARCELA ATUAL]])</f>
        <v>#REF!</v>
      </c>
      <c r="M73" s="19" t="e">
        <f>tb_Auditoria[[#This Row],[VALOR PAGO]] - tb_Auditoria[[#This Row],[VALOR ESPERADO]]</f>
        <v>#REF!</v>
      </c>
      <c r="N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" spans="1:15">
      <c r="A74" s="9">
        <v>1154632</v>
      </c>
      <c r="B74" s="10">
        <v>4</v>
      </c>
      <c r="C74" s="11">
        <v>4.0959999999999998E-3</v>
      </c>
      <c r="D74" s="12">
        <f>tb_Auditoria[[#This Row],[% TAXA RELATÓRIO]]*tb_Auditoria[[#This Row],[VALOR CRÉDITO]]</f>
        <v>2455.2108441599999</v>
      </c>
      <c r="E74" s="13">
        <v>46100</v>
      </c>
      <c r="F74" s="14" t="s">
        <v>15</v>
      </c>
      <c r="G7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" s="19">
        <f>IFERROR(INDEX([1]!tb_Vendas[Crédito],MATCH(tb_Auditoria[[#This Row],[Nº CONTRATO]],[1]!tb_Vendas[Nº Contrato],0)),0)</f>
        <v>599416.71</v>
      </c>
      <c r="K74" s="21">
        <f>IFERROR(tb_Auditoria[[#This Row],[VALOR ESPERADO]] / tb_Auditoria[[#This Row],[VALOR CRÉDITO]], 0)</f>
        <v>0</v>
      </c>
      <c r="L74" s="19" t="e">
        <f>SUMIFS([1]!Motor_Comissão[Valor Previsto],[1]!Motor_Comissão[Chave], tb_Auditoria[[#This Row],[Nº CONTRATO]]&amp;"-"&amp;tb_Auditoria[[#This Row],[PARCELA ATUAL]])</f>
        <v>#REF!</v>
      </c>
      <c r="M74" s="19" t="e">
        <f>tb_Auditoria[[#This Row],[VALOR PAGO]] - tb_Auditoria[[#This Row],[VALOR ESPERADO]]</f>
        <v>#REF!</v>
      </c>
      <c r="N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" spans="1:15">
      <c r="A75" s="9">
        <v>1154631</v>
      </c>
      <c r="B75" s="10">
        <v>4</v>
      </c>
      <c r="C75" s="11">
        <v>4.0959999999999998E-3</v>
      </c>
      <c r="D75" s="12">
        <f>tb_Auditoria[[#This Row],[% TAXA RELATÓRIO]]*tb_Auditoria[[#This Row],[VALOR CRÉDITO]]</f>
        <v>2455.2108441599999</v>
      </c>
      <c r="E75" s="13">
        <v>46100</v>
      </c>
      <c r="F75" s="14" t="s">
        <v>15</v>
      </c>
      <c r="G7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" s="19">
        <f>IFERROR(INDEX([1]!tb_Vendas[Crédito],MATCH(tb_Auditoria[[#This Row],[Nº CONTRATO]],[1]!tb_Vendas[Nº Contrato],0)),0)</f>
        <v>599416.71</v>
      </c>
      <c r="K75" s="21">
        <f>IFERROR(tb_Auditoria[[#This Row],[VALOR ESPERADO]] / tb_Auditoria[[#This Row],[VALOR CRÉDITO]], 0)</f>
        <v>0</v>
      </c>
      <c r="L75" s="19" t="e">
        <f>SUMIFS([1]!Motor_Comissão[Valor Previsto],[1]!Motor_Comissão[Chave], tb_Auditoria[[#This Row],[Nº CONTRATO]]&amp;"-"&amp;tb_Auditoria[[#This Row],[PARCELA ATUAL]])</f>
        <v>#REF!</v>
      </c>
      <c r="M75" s="19" t="e">
        <f>tb_Auditoria[[#This Row],[VALOR PAGO]] - tb_Auditoria[[#This Row],[VALOR ESPERADO]]</f>
        <v>#REF!</v>
      </c>
      <c r="N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" spans="1:15">
      <c r="A76" s="9">
        <v>1154628</v>
      </c>
      <c r="B76" s="10">
        <v>4</v>
      </c>
      <c r="C76" s="11">
        <v>4.0959999999999998E-3</v>
      </c>
      <c r="D76" s="12">
        <f>tb_Auditoria[[#This Row],[% TAXA RELATÓRIO]]*tb_Auditoria[[#This Row],[VALOR CRÉDITO]]</f>
        <v>2455.2108441599999</v>
      </c>
      <c r="E76" s="13">
        <v>46100</v>
      </c>
      <c r="F76" s="14" t="s">
        <v>15</v>
      </c>
      <c r="G7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" s="19">
        <f>IFERROR(INDEX([1]!tb_Vendas[Crédito],MATCH(tb_Auditoria[[#This Row],[Nº CONTRATO]],[1]!tb_Vendas[Nº Contrato],0)),0)</f>
        <v>599416.71</v>
      </c>
      <c r="K76" s="21">
        <f>IFERROR(tb_Auditoria[[#This Row],[VALOR ESPERADO]] / tb_Auditoria[[#This Row],[VALOR CRÉDITO]], 0)</f>
        <v>0</v>
      </c>
      <c r="L76" s="19" t="e">
        <f>SUMIFS([1]!Motor_Comissão[Valor Previsto],[1]!Motor_Comissão[Chave], tb_Auditoria[[#This Row],[Nº CONTRATO]]&amp;"-"&amp;tb_Auditoria[[#This Row],[PARCELA ATUAL]])</f>
        <v>#REF!</v>
      </c>
      <c r="M76" s="19" t="e">
        <f>tb_Auditoria[[#This Row],[VALOR PAGO]] - tb_Auditoria[[#This Row],[VALOR ESPERADO]]</f>
        <v>#REF!</v>
      </c>
      <c r="N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" spans="1:15">
      <c r="A77" s="9">
        <v>1155363</v>
      </c>
      <c r="B77" s="10">
        <v>4</v>
      </c>
      <c r="C77" s="11">
        <v>4.0959999999999998E-3</v>
      </c>
      <c r="D77" s="12">
        <f>tb_Auditoria[[#This Row],[% TAXA RELATÓRIO]]*tb_Auditoria[[#This Row],[VALOR CRÉDITO]]</f>
        <v>1723.1446015999998</v>
      </c>
      <c r="E77" s="13">
        <v>46100</v>
      </c>
      <c r="F77" s="14" t="s">
        <v>15</v>
      </c>
      <c r="G7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" s="19">
        <f>IFERROR(INDEX([1]!tb_Vendas[Crédito],MATCH(tb_Auditoria[[#This Row],[Nº CONTRATO]],[1]!tb_Vendas[Nº Contrato],0)),0)</f>
        <v>420689.6</v>
      </c>
      <c r="K77" s="21">
        <f>IFERROR(tb_Auditoria[[#This Row],[VALOR ESPERADO]] / tb_Auditoria[[#This Row],[VALOR CRÉDITO]], 0)</f>
        <v>0</v>
      </c>
      <c r="L77" s="19" t="e">
        <f>SUMIFS([1]!Motor_Comissão[Valor Previsto],[1]!Motor_Comissão[Chave], tb_Auditoria[[#This Row],[Nº CONTRATO]]&amp;"-"&amp;tb_Auditoria[[#This Row],[PARCELA ATUAL]])</f>
        <v>#REF!</v>
      </c>
      <c r="M77" s="19" t="e">
        <f>tb_Auditoria[[#This Row],[VALOR PAGO]] - tb_Auditoria[[#This Row],[VALOR ESPERADO]]</f>
        <v>#REF!</v>
      </c>
      <c r="N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" spans="1:15">
      <c r="A78" s="9">
        <v>1155368</v>
      </c>
      <c r="B78" s="10">
        <v>4</v>
      </c>
      <c r="C78" s="11">
        <v>4.0959999999999998E-3</v>
      </c>
      <c r="D78" s="12">
        <f>tb_Auditoria[[#This Row],[% TAXA RELATÓRIO]]*tb_Auditoria[[#This Row],[VALOR CRÉDITO]]</f>
        <v>1638.3999999999999</v>
      </c>
      <c r="E78" s="13">
        <v>46100</v>
      </c>
      <c r="F78" s="14" t="s">
        <v>15</v>
      </c>
      <c r="G7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" s="19">
        <f>IFERROR(INDEX([1]!tb_Vendas[Crédito],MATCH(tb_Auditoria[[#This Row],[Nº CONTRATO]],[1]!tb_Vendas[Nº Contrato],0)),0)</f>
        <v>400000</v>
      </c>
      <c r="K78" s="21">
        <f>IFERROR(tb_Auditoria[[#This Row],[VALOR ESPERADO]] / tb_Auditoria[[#This Row],[VALOR CRÉDITO]], 0)</f>
        <v>0</v>
      </c>
      <c r="L78" s="19" t="e">
        <f>SUMIFS([1]!Motor_Comissão[Valor Previsto],[1]!Motor_Comissão[Chave], tb_Auditoria[[#This Row],[Nº CONTRATO]]&amp;"-"&amp;tb_Auditoria[[#This Row],[PARCELA ATUAL]])</f>
        <v>#REF!</v>
      </c>
      <c r="M78" s="19" t="e">
        <f>tb_Auditoria[[#This Row],[VALOR PAGO]] - tb_Auditoria[[#This Row],[VALOR ESPERADO]]</f>
        <v>#REF!</v>
      </c>
      <c r="N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" spans="1:15">
      <c r="A79" s="9">
        <v>1155371</v>
      </c>
      <c r="B79" s="10">
        <v>4</v>
      </c>
      <c r="C79" s="11">
        <v>4.0959999999999998E-3</v>
      </c>
      <c r="D79" s="12">
        <f>tb_Auditoria[[#This Row],[% TAXA RELATÓRIO]]*tb_Auditoria[[#This Row],[VALOR CRÉDITO]]</f>
        <v>1638.3999999999999</v>
      </c>
      <c r="E79" s="13">
        <v>46100</v>
      </c>
      <c r="F79" s="14" t="s">
        <v>15</v>
      </c>
      <c r="G7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7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" s="19">
        <f>IFERROR(INDEX([1]!tb_Vendas[Crédito],MATCH(tb_Auditoria[[#This Row],[Nº CONTRATO]],[1]!tb_Vendas[Nº Contrato],0)),0)</f>
        <v>400000</v>
      </c>
      <c r="K79" s="21">
        <f>IFERROR(tb_Auditoria[[#This Row],[VALOR ESPERADO]] / tb_Auditoria[[#This Row],[VALOR CRÉDITO]], 0)</f>
        <v>0</v>
      </c>
      <c r="L79" s="19" t="e">
        <f>SUMIFS([1]!Motor_Comissão[Valor Previsto],[1]!Motor_Comissão[Chave], tb_Auditoria[[#This Row],[Nº CONTRATO]]&amp;"-"&amp;tb_Auditoria[[#This Row],[PARCELA ATUAL]])</f>
        <v>#REF!</v>
      </c>
      <c r="M79" s="19" t="e">
        <f>tb_Auditoria[[#This Row],[VALOR PAGO]] - tb_Auditoria[[#This Row],[VALOR ESPERADO]]</f>
        <v>#REF!</v>
      </c>
      <c r="N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" spans="1:15">
      <c r="A80" s="9">
        <v>1155376</v>
      </c>
      <c r="B80" s="10">
        <v>4</v>
      </c>
      <c r="C80" s="11">
        <v>1.5E-3</v>
      </c>
      <c r="D80" s="12">
        <f>tb_Auditoria[[#This Row],[% TAXA RELATÓRIO]]*tb_Auditoria[[#This Row],[VALOR CRÉDITO]]</f>
        <v>600</v>
      </c>
      <c r="E80" s="13">
        <v>46100</v>
      </c>
      <c r="F80" s="14" t="s">
        <v>15</v>
      </c>
      <c r="G8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" s="19">
        <f>IFERROR(INDEX([1]!tb_Vendas[Crédito],MATCH(tb_Auditoria[[#This Row],[Nº CONTRATO]],[1]!tb_Vendas[Nº Contrato],0)),0)</f>
        <v>400000</v>
      </c>
      <c r="K80" s="21">
        <f>IFERROR(tb_Auditoria[[#This Row],[VALOR ESPERADO]] / tb_Auditoria[[#This Row],[VALOR CRÉDITO]], 0)</f>
        <v>0</v>
      </c>
      <c r="L80" s="19" t="e">
        <f>SUMIFS([1]!Motor_Comissão[Valor Previsto],[1]!Motor_Comissão[Chave], tb_Auditoria[[#This Row],[Nº CONTRATO]]&amp;"-"&amp;tb_Auditoria[[#This Row],[PARCELA ATUAL]])</f>
        <v>#REF!</v>
      </c>
      <c r="M80" s="19" t="e">
        <f>tb_Auditoria[[#This Row],[VALOR PAGO]] - tb_Auditoria[[#This Row],[VALOR ESPERADO]]</f>
        <v>#REF!</v>
      </c>
      <c r="N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" spans="1:15">
      <c r="A81" s="9">
        <v>1155373</v>
      </c>
      <c r="B81" s="10">
        <v>4</v>
      </c>
      <c r="C81" s="11">
        <v>1.5E-3</v>
      </c>
      <c r="D81" s="12">
        <f>tb_Auditoria[[#This Row],[% TAXA RELATÓRIO]]*tb_Auditoria[[#This Row],[VALOR CRÉDITO]]</f>
        <v>600</v>
      </c>
      <c r="E81" s="13">
        <v>46100</v>
      </c>
      <c r="F81" s="14" t="s">
        <v>15</v>
      </c>
      <c r="G8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" s="19">
        <f>IFERROR(INDEX([1]!tb_Vendas[Crédito],MATCH(tb_Auditoria[[#This Row],[Nº CONTRATO]],[1]!tb_Vendas[Nº Contrato],0)),0)</f>
        <v>400000</v>
      </c>
      <c r="K81" s="21">
        <f>IFERROR(tb_Auditoria[[#This Row],[VALOR ESPERADO]] / tb_Auditoria[[#This Row],[VALOR CRÉDITO]], 0)</f>
        <v>0</v>
      </c>
      <c r="L81" s="19" t="e">
        <f>SUMIFS([1]!Motor_Comissão[Valor Previsto],[1]!Motor_Comissão[Chave], tb_Auditoria[[#This Row],[Nº CONTRATO]]&amp;"-"&amp;tb_Auditoria[[#This Row],[PARCELA ATUAL]])</f>
        <v>#REF!</v>
      </c>
      <c r="M81" s="19" t="e">
        <f>tb_Auditoria[[#This Row],[VALOR PAGO]] - tb_Auditoria[[#This Row],[VALOR ESPERADO]]</f>
        <v>#REF!</v>
      </c>
      <c r="N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" spans="1:15">
      <c r="A82" s="9">
        <v>1154628</v>
      </c>
      <c r="B82" s="10">
        <v>5</v>
      </c>
      <c r="C82" s="11">
        <v>4.0959999999999998E-3</v>
      </c>
      <c r="D82" s="12">
        <f>tb_Auditoria[[#This Row],[% TAXA RELATÓRIO]]*tb_Auditoria[[#This Row],[VALOR CRÉDITO]]</f>
        <v>2455.2108441599999</v>
      </c>
      <c r="E82" s="13">
        <v>46129</v>
      </c>
      <c r="F82" s="14" t="s">
        <v>15</v>
      </c>
      <c r="G8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" s="19">
        <f>IFERROR(INDEX([1]!tb_Vendas[Crédito],MATCH(tb_Auditoria[[#This Row],[Nº CONTRATO]],[1]!tb_Vendas[Nº Contrato],0)),0)</f>
        <v>599416.71</v>
      </c>
      <c r="K82" s="21">
        <f>IFERROR(tb_Auditoria[[#This Row],[VALOR ESPERADO]] / tb_Auditoria[[#This Row],[VALOR CRÉDITO]], 0)</f>
        <v>0</v>
      </c>
      <c r="L82" s="19" t="e">
        <f>SUMIFS([1]!Motor_Comissão[Valor Previsto],[1]!Motor_Comissão[Chave], tb_Auditoria[[#This Row],[Nº CONTRATO]]&amp;"-"&amp;tb_Auditoria[[#This Row],[PARCELA ATUAL]])</f>
        <v>#REF!</v>
      </c>
      <c r="M82" s="19" t="e">
        <f>tb_Auditoria[[#This Row],[VALOR PAGO]] - tb_Auditoria[[#This Row],[VALOR ESPERADO]]</f>
        <v>#REF!</v>
      </c>
      <c r="N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" spans="1:15">
      <c r="A83" s="9">
        <v>1154631</v>
      </c>
      <c r="B83" s="10">
        <v>5</v>
      </c>
      <c r="C83" s="11">
        <v>4.0959999999999998E-3</v>
      </c>
      <c r="D83" s="12">
        <f>tb_Auditoria[[#This Row],[% TAXA RELATÓRIO]]*tb_Auditoria[[#This Row],[VALOR CRÉDITO]]</f>
        <v>2455.2108441599999</v>
      </c>
      <c r="E83" s="13">
        <v>46129</v>
      </c>
      <c r="F83" s="14" t="s">
        <v>15</v>
      </c>
      <c r="G8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" s="19">
        <f>IFERROR(INDEX([1]!tb_Vendas[Crédito],MATCH(tb_Auditoria[[#This Row],[Nº CONTRATO]],[1]!tb_Vendas[Nº Contrato],0)),0)</f>
        <v>599416.71</v>
      </c>
      <c r="K83" s="21">
        <f>IFERROR(tb_Auditoria[[#This Row],[VALOR ESPERADO]] / tb_Auditoria[[#This Row],[VALOR CRÉDITO]], 0)</f>
        <v>0</v>
      </c>
      <c r="L83" s="19" t="e">
        <f>SUMIFS([1]!Motor_Comissão[Valor Previsto],[1]!Motor_Comissão[Chave], tb_Auditoria[[#This Row],[Nº CONTRATO]]&amp;"-"&amp;tb_Auditoria[[#This Row],[PARCELA ATUAL]])</f>
        <v>#REF!</v>
      </c>
      <c r="M83" s="19" t="e">
        <f>tb_Auditoria[[#This Row],[VALOR PAGO]] - tb_Auditoria[[#This Row],[VALOR ESPERADO]]</f>
        <v>#REF!</v>
      </c>
      <c r="N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" spans="1:15">
      <c r="A84" s="9">
        <v>1154632</v>
      </c>
      <c r="B84" s="10">
        <v>5</v>
      </c>
      <c r="C84" s="11">
        <v>4.0959999999999998E-3</v>
      </c>
      <c r="D84" s="12">
        <f>tb_Auditoria[[#This Row],[% TAXA RELATÓRIO]]*tb_Auditoria[[#This Row],[VALOR CRÉDITO]]</f>
        <v>2455.2108441599999</v>
      </c>
      <c r="E84" s="13">
        <v>46129</v>
      </c>
      <c r="F84" s="14" t="s">
        <v>15</v>
      </c>
      <c r="G8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" s="19">
        <f>IFERROR(INDEX([1]!tb_Vendas[Crédito],MATCH(tb_Auditoria[[#This Row],[Nº CONTRATO]],[1]!tb_Vendas[Nº Contrato],0)),0)</f>
        <v>599416.71</v>
      </c>
      <c r="K84" s="21">
        <f>IFERROR(tb_Auditoria[[#This Row],[VALOR ESPERADO]] / tb_Auditoria[[#This Row],[VALOR CRÉDITO]], 0)</f>
        <v>0</v>
      </c>
      <c r="L84" s="19" t="e">
        <f>SUMIFS([1]!Motor_Comissão[Valor Previsto],[1]!Motor_Comissão[Chave], tb_Auditoria[[#This Row],[Nº CONTRATO]]&amp;"-"&amp;tb_Auditoria[[#This Row],[PARCELA ATUAL]])</f>
        <v>#REF!</v>
      </c>
      <c r="M84" s="19" t="e">
        <f>tb_Auditoria[[#This Row],[VALOR PAGO]] - tb_Auditoria[[#This Row],[VALOR ESPERADO]]</f>
        <v>#REF!</v>
      </c>
      <c r="N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" spans="1:15">
      <c r="A85" s="9">
        <v>1154634</v>
      </c>
      <c r="B85" s="10">
        <v>5</v>
      </c>
      <c r="C85" s="11">
        <v>4.0959999999999998E-3</v>
      </c>
      <c r="D85" s="12">
        <f>tb_Auditoria[[#This Row],[% TAXA RELATÓRIO]]*tb_Auditoria[[#This Row],[VALOR CRÉDITO]]</f>
        <v>2455.2108441599999</v>
      </c>
      <c r="E85" s="13">
        <v>46129</v>
      </c>
      <c r="F85" s="14" t="s">
        <v>15</v>
      </c>
      <c r="G8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" s="19">
        <f>IFERROR(INDEX([1]!tb_Vendas[Crédito],MATCH(tb_Auditoria[[#This Row],[Nº CONTRATO]],[1]!tb_Vendas[Nº Contrato],0)),0)</f>
        <v>599416.71</v>
      </c>
      <c r="K85" s="21">
        <f>IFERROR(tb_Auditoria[[#This Row],[VALOR ESPERADO]] / tb_Auditoria[[#This Row],[VALOR CRÉDITO]], 0)</f>
        <v>0</v>
      </c>
      <c r="L85" s="19" t="e">
        <f>SUMIFS([1]!Motor_Comissão[Valor Previsto],[1]!Motor_Comissão[Chave], tb_Auditoria[[#This Row],[Nº CONTRATO]]&amp;"-"&amp;tb_Auditoria[[#This Row],[PARCELA ATUAL]])</f>
        <v>#REF!</v>
      </c>
      <c r="M85" s="19" t="e">
        <f>tb_Auditoria[[#This Row],[VALOR PAGO]] - tb_Auditoria[[#This Row],[VALOR ESPERADO]]</f>
        <v>#REF!</v>
      </c>
      <c r="N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" spans="1:15">
      <c r="A86" s="9">
        <v>1154635</v>
      </c>
      <c r="B86" s="10">
        <v>5</v>
      </c>
      <c r="C86" s="11">
        <v>4.0959999999999998E-3</v>
      </c>
      <c r="D86" s="12">
        <f>tb_Auditoria[[#This Row],[% TAXA RELATÓRIO]]*tb_Auditoria[[#This Row],[VALOR CRÉDITO]]</f>
        <v>2455.2108441599999</v>
      </c>
      <c r="E86" s="13">
        <v>46129</v>
      </c>
      <c r="F86" s="14" t="s">
        <v>15</v>
      </c>
      <c r="G8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" s="19">
        <f>IFERROR(INDEX([1]!tb_Vendas[Crédito],MATCH(tb_Auditoria[[#This Row],[Nº CONTRATO]],[1]!tb_Vendas[Nº Contrato],0)),0)</f>
        <v>599416.71</v>
      </c>
      <c r="K86" s="21">
        <f>IFERROR(tb_Auditoria[[#This Row],[VALOR ESPERADO]] / tb_Auditoria[[#This Row],[VALOR CRÉDITO]], 0)</f>
        <v>0</v>
      </c>
      <c r="L86" s="19" t="e">
        <f>SUMIFS([1]!Motor_Comissão[Valor Previsto],[1]!Motor_Comissão[Chave], tb_Auditoria[[#This Row],[Nº CONTRATO]]&amp;"-"&amp;tb_Auditoria[[#This Row],[PARCELA ATUAL]])</f>
        <v>#REF!</v>
      </c>
      <c r="M86" s="19" t="e">
        <f>tb_Auditoria[[#This Row],[VALOR PAGO]] - tb_Auditoria[[#This Row],[VALOR ESPERADO]]</f>
        <v>#REF!</v>
      </c>
      <c r="N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" spans="1:15">
      <c r="A87" s="9">
        <v>1155363</v>
      </c>
      <c r="B87" s="10">
        <v>5</v>
      </c>
      <c r="C87" s="11">
        <v>4.0959999999999998E-3</v>
      </c>
      <c r="D87" s="12">
        <f>tb_Auditoria[[#This Row],[% TAXA RELATÓRIO]]*tb_Auditoria[[#This Row],[VALOR CRÉDITO]]</f>
        <v>1723.1446015999998</v>
      </c>
      <c r="E87" s="13">
        <v>46129</v>
      </c>
      <c r="F87" s="14" t="s">
        <v>15</v>
      </c>
      <c r="G8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" s="19">
        <f>IFERROR(INDEX([1]!tb_Vendas[Crédito],MATCH(tb_Auditoria[[#This Row],[Nº CONTRATO]],[1]!tb_Vendas[Nº Contrato],0)),0)</f>
        <v>420689.6</v>
      </c>
      <c r="K87" s="21">
        <f>IFERROR(tb_Auditoria[[#This Row],[VALOR ESPERADO]] / tb_Auditoria[[#This Row],[VALOR CRÉDITO]], 0)</f>
        <v>0</v>
      </c>
      <c r="L87" s="19" t="e">
        <f>SUMIFS([1]!Motor_Comissão[Valor Previsto],[1]!Motor_Comissão[Chave], tb_Auditoria[[#This Row],[Nº CONTRATO]]&amp;"-"&amp;tb_Auditoria[[#This Row],[PARCELA ATUAL]])</f>
        <v>#REF!</v>
      </c>
      <c r="M87" s="19" t="e">
        <f>tb_Auditoria[[#This Row],[VALOR PAGO]] - tb_Auditoria[[#This Row],[VALOR ESPERADO]]</f>
        <v>#REF!</v>
      </c>
      <c r="N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" spans="1:15">
      <c r="A88" s="9">
        <v>1155368</v>
      </c>
      <c r="B88" s="10">
        <v>5</v>
      </c>
      <c r="C88" s="11">
        <v>4.0959999999999998E-3</v>
      </c>
      <c r="D88" s="12">
        <f>tb_Auditoria[[#This Row],[% TAXA RELATÓRIO]]*tb_Auditoria[[#This Row],[VALOR CRÉDITO]]</f>
        <v>1638.3999999999999</v>
      </c>
      <c r="E88" s="13">
        <v>46129</v>
      </c>
      <c r="F88" s="14" t="s">
        <v>15</v>
      </c>
      <c r="G8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" s="19">
        <f>IFERROR(INDEX([1]!tb_Vendas[Crédito],MATCH(tb_Auditoria[[#This Row],[Nº CONTRATO]],[1]!tb_Vendas[Nº Contrato],0)),0)</f>
        <v>400000</v>
      </c>
      <c r="K88" s="21">
        <f>IFERROR(tb_Auditoria[[#This Row],[VALOR ESPERADO]] / tb_Auditoria[[#This Row],[VALOR CRÉDITO]], 0)</f>
        <v>0</v>
      </c>
      <c r="L88" s="19" t="e">
        <f>SUMIFS([1]!Motor_Comissão[Valor Previsto],[1]!Motor_Comissão[Chave], tb_Auditoria[[#This Row],[Nº CONTRATO]]&amp;"-"&amp;tb_Auditoria[[#This Row],[PARCELA ATUAL]])</f>
        <v>#REF!</v>
      </c>
      <c r="M88" s="19" t="e">
        <f>tb_Auditoria[[#This Row],[VALOR PAGO]] - tb_Auditoria[[#This Row],[VALOR ESPERADO]]</f>
        <v>#REF!</v>
      </c>
      <c r="N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" spans="1:15">
      <c r="A89" s="9">
        <v>1155371</v>
      </c>
      <c r="B89" s="10">
        <v>5</v>
      </c>
      <c r="C89" s="11">
        <v>4.0959999999999998E-3</v>
      </c>
      <c r="D89" s="12">
        <f>tb_Auditoria[[#This Row],[% TAXA RELATÓRIO]]*tb_Auditoria[[#This Row],[VALOR CRÉDITO]]</f>
        <v>1638.3999999999999</v>
      </c>
      <c r="E89" s="13">
        <v>46129</v>
      </c>
      <c r="F89" s="14" t="s">
        <v>15</v>
      </c>
      <c r="G8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8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" s="19">
        <f>IFERROR(INDEX([1]!tb_Vendas[Crédito],MATCH(tb_Auditoria[[#This Row],[Nº CONTRATO]],[1]!tb_Vendas[Nº Contrato],0)),0)</f>
        <v>400000</v>
      </c>
      <c r="K89" s="21">
        <f>IFERROR(tb_Auditoria[[#This Row],[VALOR ESPERADO]] / tb_Auditoria[[#This Row],[VALOR CRÉDITO]], 0)</f>
        <v>0</v>
      </c>
      <c r="L89" s="19" t="e">
        <f>SUMIFS([1]!Motor_Comissão[Valor Previsto],[1]!Motor_Comissão[Chave], tb_Auditoria[[#This Row],[Nº CONTRATO]]&amp;"-"&amp;tb_Auditoria[[#This Row],[PARCELA ATUAL]])</f>
        <v>#REF!</v>
      </c>
      <c r="M89" s="19" t="e">
        <f>tb_Auditoria[[#This Row],[VALOR PAGO]] - tb_Auditoria[[#This Row],[VALOR ESPERADO]]</f>
        <v>#REF!</v>
      </c>
      <c r="N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" spans="1:15">
      <c r="A90" s="9">
        <v>1155373</v>
      </c>
      <c r="B90" s="10">
        <v>5</v>
      </c>
      <c r="C90" s="11">
        <v>1.5E-3</v>
      </c>
      <c r="D90" s="12">
        <f>tb_Auditoria[[#This Row],[% TAXA RELATÓRIO]]*tb_Auditoria[[#This Row],[VALOR CRÉDITO]]</f>
        <v>600</v>
      </c>
      <c r="E90" s="13">
        <v>46129</v>
      </c>
      <c r="F90" s="14" t="s">
        <v>15</v>
      </c>
      <c r="G9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" s="19">
        <f>IFERROR(INDEX([1]!tb_Vendas[Crédito],MATCH(tb_Auditoria[[#This Row],[Nº CONTRATO]],[1]!tb_Vendas[Nº Contrato],0)),0)</f>
        <v>400000</v>
      </c>
      <c r="K90" s="21">
        <f>IFERROR(tb_Auditoria[[#This Row],[VALOR ESPERADO]] / tb_Auditoria[[#This Row],[VALOR CRÉDITO]], 0)</f>
        <v>0</v>
      </c>
      <c r="L90" s="19" t="e">
        <f>SUMIFS([1]!Motor_Comissão[Valor Previsto],[1]!Motor_Comissão[Chave], tb_Auditoria[[#This Row],[Nº CONTRATO]]&amp;"-"&amp;tb_Auditoria[[#This Row],[PARCELA ATUAL]])</f>
        <v>#REF!</v>
      </c>
      <c r="M90" s="19" t="e">
        <f>tb_Auditoria[[#This Row],[VALOR PAGO]] - tb_Auditoria[[#This Row],[VALOR ESPERADO]]</f>
        <v>#REF!</v>
      </c>
      <c r="N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" spans="1:15">
      <c r="A91" s="9">
        <v>1155376</v>
      </c>
      <c r="B91" s="10">
        <v>5</v>
      </c>
      <c r="C91" s="11">
        <v>1.5E-3</v>
      </c>
      <c r="D91" s="12">
        <f>tb_Auditoria[[#This Row],[% TAXA RELATÓRIO]]*tb_Auditoria[[#This Row],[VALOR CRÉDITO]]</f>
        <v>600</v>
      </c>
      <c r="E91" s="13">
        <v>46129</v>
      </c>
      <c r="F91" s="14" t="s">
        <v>15</v>
      </c>
      <c r="G9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" s="19">
        <f>IFERROR(INDEX([1]!tb_Vendas[Crédito],MATCH(tb_Auditoria[[#This Row],[Nº CONTRATO]],[1]!tb_Vendas[Nº Contrato],0)),0)</f>
        <v>400000</v>
      </c>
      <c r="K91" s="21">
        <f>IFERROR(tb_Auditoria[[#This Row],[VALOR ESPERADO]] / tb_Auditoria[[#This Row],[VALOR CRÉDITO]], 0)</f>
        <v>0</v>
      </c>
      <c r="L91" s="19" t="e">
        <f>SUMIFS([1]!Motor_Comissão[Valor Previsto],[1]!Motor_Comissão[Chave], tb_Auditoria[[#This Row],[Nº CONTRATO]]&amp;"-"&amp;tb_Auditoria[[#This Row],[PARCELA ATUAL]])</f>
        <v>#REF!</v>
      </c>
      <c r="M91" s="19" t="e">
        <f>tb_Auditoria[[#This Row],[VALOR PAGO]] - tb_Auditoria[[#This Row],[VALOR ESPERADO]]</f>
        <v>#REF!</v>
      </c>
      <c r="N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" spans="1:15">
      <c r="A92" s="9">
        <v>1155380</v>
      </c>
      <c r="B92" s="10">
        <v>5</v>
      </c>
      <c r="C92" s="11">
        <v>4.0959999999999998E-3</v>
      </c>
      <c r="D92" s="12">
        <f>tb_Auditoria[[#This Row],[% TAXA RELATÓRIO]]*tb_Auditoria[[#This Row],[VALOR CRÉDITO]]</f>
        <v>1228.8</v>
      </c>
      <c r="E92" s="13">
        <v>46129</v>
      </c>
      <c r="F92" s="14" t="s">
        <v>15</v>
      </c>
      <c r="G9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" s="19">
        <f>IFERROR(INDEX([1]!tb_Vendas[Crédito],MATCH(tb_Auditoria[[#This Row],[Nº CONTRATO]],[1]!tb_Vendas[Nº Contrato],0)),0)</f>
        <v>300000</v>
      </c>
      <c r="K92" s="21">
        <f>IFERROR(tb_Auditoria[[#This Row],[VALOR ESPERADO]] / tb_Auditoria[[#This Row],[VALOR CRÉDITO]], 0)</f>
        <v>0</v>
      </c>
      <c r="L92" s="19" t="e">
        <f>SUMIFS([1]!Motor_Comissão[Valor Previsto],[1]!Motor_Comissão[Chave], tb_Auditoria[[#This Row],[Nº CONTRATO]]&amp;"-"&amp;tb_Auditoria[[#This Row],[PARCELA ATUAL]])</f>
        <v>#REF!</v>
      </c>
      <c r="M92" s="19" t="e">
        <f>tb_Auditoria[[#This Row],[VALOR PAGO]] - tb_Auditoria[[#This Row],[VALOR ESPERADO]]</f>
        <v>#REF!</v>
      </c>
      <c r="N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" spans="1:15">
      <c r="A93" s="9">
        <v>1155383</v>
      </c>
      <c r="B93" s="10">
        <v>5</v>
      </c>
      <c r="C93" s="11">
        <v>4.0959999999999998E-3</v>
      </c>
      <c r="D93" s="12">
        <f>tb_Auditoria[[#This Row],[% TAXA RELATÓRIO]]*tb_Auditoria[[#This Row],[VALOR CRÉDITO]]</f>
        <v>1228.8</v>
      </c>
      <c r="E93" s="13">
        <v>46129</v>
      </c>
      <c r="F93" s="14" t="s">
        <v>15</v>
      </c>
      <c r="G9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" s="19">
        <f>IFERROR(INDEX([1]!tb_Vendas[Crédito],MATCH(tb_Auditoria[[#This Row],[Nº CONTRATO]],[1]!tb_Vendas[Nº Contrato],0)),0)</f>
        <v>300000</v>
      </c>
      <c r="K93" s="21">
        <f>IFERROR(tb_Auditoria[[#This Row],[VALOR ESPERADO]] / tb_Auditoria[[#This Row],[VALOR CRÉDITO]], 0)</f>
        <v>0</v>
      </c>
      <c r="L93" s="19" t="e">
        <f>SUMIFS([1]!Motor_Comissão[Valor Previsto],[1]!Motor_Comissão[Chave], tb_Auditoria[[#This Row],[Nº CONTRATO]]&amp;"-"&amp;tb_Auditoria[[#This Row],[PARCELA ATUAL]])</f>
        <v>#REF!</v>
      </c>
      <c r="M93" s="19" t="e">
        <f>tb_Auditoria[[#This Row],[VALOR PAGO]] - tb_Auditoria[[#This Row],[VALOR ESPERADO]]</f>
        <v>#REF!</v>
      </c>
      <c r="N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4" spans="1:15">
      <c r="A94" s="9">
        <v>1155384</v>
      </c>
      <c r="B94" s="10">
        <v>5</v>
      </c>
      <c r="C94" s="11">
        <v>1.3760000000000001E-3</v>
      </c>
      <c r="D94" s="12">
        <f>tb_Auditoria[[#This Row],[% TAXA RELATÓRIO]]*tb_Auditoria[[#This Row],[VALOR CRÉDITO]]</f>
        <v>412.8</v>
      </c>
      <c r="E94" s="13">
        <v>46129</v>
      </c>
      <c r="F94" s="14" t="s">
        <v>15</v>
      </c>
      <c r="G9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4" s="19">
        <f>IFERROR(INDEX([1]!tb_Vendas[Crédito],MATCH(tb_Auditoria[[#This Row],[Nº CONTRATO]],[1]!tb_Vendas[Nº Contrato],0)),0)</f>
        <v>300000</v>
      </c>
      <c r="K94" s="21">
        <f>IFERROR(tb_Auditoria[[#This Row],[VALOR ESPERADO]] / tb_Auditoria[[#This Row],[VALOR CRÉDITO]], 0)</f>
        <v>0</v>
      </c>
      <c r="L94" s="19" t="e">
        <f>SUMIFS([1]!Motor_Comissão[Valor Previsto],[1]!Motor_Comissão[Chave], tb_Auditoria[[#This Row],[Nº CONTRATO]]&amp;"-"&amp;tb_Auditoria[[#This Row],[PARCELA ATUAL]])</f>
        <v>#REF!</v>
      </c>
      <c r="M94" s="19" t="e">
        <f>tb_Auditoria[[#This Row],[VALOR PAGO]] - tb_Auditoria[[#This Row],[VALOR ESPERADO]]</f>
        <v>#REF!</v>
      </c>
      <c r="N9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5" spans="1:15">
      <c r="A95" s="9">
        <v>1155387</v>
      </c>
      <c r="B95" s="10">
        <v>5</v>
      </c>
      <c r="C95" s="11">
        <v>4.0959999999999998E-3</v>
      </c>
      <c r="D95" s="12">
        <f>tb_Auditoria[[#This Row],[% TAXA RELATÓRIO]]*tb_Auditoria[[#This Row],[VALOR CRÉDITO]]</f>
        <v>1249.3855539200001</v>
      </c>
      <c r="E95" s="13">
        <v>46129</v>
      </c>
      <c r="F95" s="14" t="s">
        <v>15</v>
      </c>
      <c r="G9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5" s="19">
        <f>IFERROR(INDEX([1]!tb_Vendas[Crédito],MATCH(tb_Auditoria[[#This Row],[Nº CONTRATO]],[1]!tb_Vendas[Nº Contrato],0)),0)</f>
        <v>305025.77</v>
      </c>
      <c r="K95" s="21">
        <f>IFERROR(tb_Auditoria[[#This Row],[VALOR ESPERADO]] / tb_Auditoria[[#This Row],[VALOR CRÉDITO]], 0)</f>
        <v>0</v>
      </c>
      <c r="L95" s="19" t="e">
        <f>SUMIFS([1]!Motor_Comissão[Valor Previsto],[1]!Motor_Comissão[Chave], tb_Auditoria[[#This Row],[Nº CONTRATO]]&amp;"-"&amp;tb_Auditoria[[#This Row],[PARCELA ATUAL]])</f>
        <v>#REF!</v>
      </c>
      <c r="M95" s="19" t="e">
        <f>tb_Auditoria[[#This Row],[VALOR PAGO]] - tb_Auditoria[[#This Row],[VALOR ESPERADO]]</f>
        <v>#REF!</v>
      </c>
      <c r="N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6" spans="1:15">
      <c r="A96" s="9">
        <v>1155388</v>
      </c>
      <c r="B96" s="10">
        <v>5</v>
      </c>
      <c r="C96" s="11">
        <v>4.0959999999999998E-3</v>
      </c>
      <c r="D96" s="12">
        <f>tb_Auditoria[[#This Row],[% TAXA RELATÓRIO]]*tb_Auditoria[[#This Row],[VALOR CRÉDITO]]</f>
        <v>1249.3855539200001</v>
      </c>
      <c r="E96" s="13">
        <v>46129</v>
      </c>
      <c r="F96" s="14" t="s">
        <v>15</v>
      </c>
      <c r="G9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6" s="19">
        <f>IFERROR(INDEX([1]!tb_Vendas[Crédito],MATCH(tb_Auditoria[[#This Row],[Nº CONTRATO]],[1]!tb_Vendas[Nº Contrato],0)),0)</f>
        <v>305025.77</v>
      </c>
      <c r="K96" s="21">
        <f>IFERROR(tb_Auditoria[[#This Row],[VALOR ESPERADO]] / tb_Auditoria[[#This Row],[VALOR CRÉDITO]], 0)</f>
        <v>0</v>
      </c>
      <c r="L96" s="19" t="e">
        <f>SUMIFS([1]!Motor_Comissão[Valor Previsto],[1]!Motor_Comissão[Chave], tb_Auditoria[[#This Row],[Nº CONTRATO]]&amp;"-"&amp;tb_Auditoria[[#This Row],[PARCELA ATUAL]])</f>
        <v>#REF!</v>
      </c>
      <c r="M96" s="19" t="e">
        <f>tb_Auditoria[[#This Row],[VALOR PAGO]] - tb_Auditoria[[#This Row],[VALOR ESPERADO]]</f>
        <v>#REF!</v>
      </c>
      <c r="N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" spans="1:15">
      <c r="A97" s="9">
        <v>1155389</v>
      </c>
      <c r="B97" s="10">
        <v>5</v>
      </c>
      <c r="C97" s="11">
        <v>4.0959999999999998E-3</v>
      </c>
      <c r="D97" s="12">
        <f>tb_Auditoria[[#This Row],[% TAXA RELATÓRIO]]*tb_Auditoria[[#This Row],[VALOR CRÉDITO]]</f>
        <v>1169.3723647999998</v>
      </c>
      <c r="E97" s="13">
        <v>46129</v>
      </c>
      <c r="F97" s="14" t="s">
        <v>15</v>
      </c>
      <c r="G9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7" s="19">
        <f>IFERROR(INDEX([1]!tb_Vendas[Crédito],MATCH(tb_Auditoria[[#This Row],[Nº CONTRATO]],[1]!tb_Vendas[Nº Contrato],0)),0)</f>
        <v>285491.3</v>
      </c>
      <c r="K97" s="21">
        <f>IFERROR(tb_Auditoria[[#This Row],[VALOR ESPERADO]] / tb_Auditoria[[#This Row],[VALOR CRÉDITO]], 0)</f>
        <v>0</v>
      </c>
      <c r="L97" s="19" t="e">
        <f>SUMIFS([1]!Motor_Comissão[Valor Previsto],[1]!Motor_Comissão[Chave], tb_Auditoria[[#This Row],[Nº CONTRATO]]&amp;"-"&amp;tb_Auditoria[[#This Row],[PARCELA ATUAL]])</f>
        <v>#REF!</v>
      </c>
      <c r="M97" s="19" t="e">
        <f>tb_Auditoria[[#This Row],[VALOR PAGO]] - tb_Auditoria[[#This Row],[VALOR ESPERADO]]</f>
        <v>#REF!</v>
      </c>
      <c r="N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" spans="1:15">
      <c r="A98" s="9">
        <v>1155390</v>
      </c>
      <c r="B98" s="10">
        <v>5</v>
      </c>
      <c r="C98" s="11">
        <v>4.0959999999999998E-3</v>
      </c>
      <c r="D98" s="12">
        <f>tb_Auditoria[[#This Row],[% TAXA RELATÓRIO]]*tb_Auditoria[[#This Row],[VALOR CRÉDITO]]</f>
        <v>1169.3723647999998</v>
      </c>
      <c r="E98" s="13">
        <v>46129</v>
      </c>
      <c r="F98" s="14" t="s">
        <v>15</v>
      </c>
      <c r="G9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8" s="19">
        <f>IFERROR(INDEX([1]!tb_Vendas[Crédito],MATCH(tb_Auditoria[[#This Row],[Nº CONTRATO]],[1]!tb_Vendas[Nº Contrato],0)),0)</f>
        <v>285491.3</v>
      </c>
      <c r="K98" s="21">
        <f>IFERROR(tb_Auditoria[[#This Row],[VALOR ESPERADO]] / tb_Auditoria[[#This Row],[VALOR CRÉDITO]], 0)</f>
        <v>0</v>
      </c>
      <c r="L98" s="19" t="e">
        <f>SUMIFS([1]!Motor_Comissão[Valor Previsto],[1]!Motor_Comissão[Chave], tb_Auditoria[[#This Row],[Nº CONTRATO]]&amp;"-"&amp;tb_Auditoria[[#This Row],[PARCELA ATUAL]])</f>
        <v>#REF!</v>
      </c>
      <c r="M98" s="19" t="e">
        <f>tb_Auditoria[[#This Row],[VALOR PAGO]] - tb_Auditoria[[#This Row],[VALOR ESPERADO]]</f>
        <v>#REF!</v>
      </c>
      <c r="N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" spans="1:15">
      <c r="A99" s="9">
        <v>1155391</v>
      </c>
      <c r="B99" s="10">
        <v>5</v>
      </c>
      <c r="C99" s="11">
        <v>4.0959999999999998E-3</v>
      </c>
      <c r="D99" s="12">
        <f>tb_Auditoria[[#This Row],[% TAXA RELATÓRIO]]*tb_Auditoria[[#This Row],[VALOR CRÉDITO]]</f>
        <v>1142.85334528</v>
      </c>
      <c r="E99" s="13">
        <v>46129</v>
      </c>
      <c r="F99" s="14" t="s">
        <v>15</v>
      </c>
      <c r="G9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99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9" s="23">
        <f>IFERROR(INDEX([1]!tb_Vendas[Crédito],MATCH(tb_Auditoria[[#This Row],[Nº CONTRATO]],[1]!tb_Vendas[Nº Contrato],0)),0)</f>
        <v>279016.93</v>
      </c>
      <c r="K99" s="22">
        <f>IFERROR(tb_Auditoria[[#This Row],[VALOR ESPERADO]] / tb_Auditoria[[#This Row],[VALOR CRÉDITO]], 0)</f>
        <v>0</v>
      </c>
      <c r="L99" s="23" t="e">
        <f>SUMIFS([1]!Motor_Comissão[Valor Previsto],[1]!Motor_Comissão[Chave], tb_Auditoria[[#This Row],[Nº CONTRATO]]&amp;"-"&amp;tb_Auditoria[[#This Row],[PARCELA ATUAL]])</f>
        <v>#REF!</v>
      </c>
      <c r="M99" s="23" t="e">
        <f>tb_Auditoria[[#This Row],[VALOR PAGO]] - tb_Auditoria[[#This Row],[VALOR ESPERADO]]</f>
        <v>#REF!</v>
      </c>
      <c r="N99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0" spans="1:15">
      <c r="A100" s="9">
        <v>1155392</v>
      </c>
      <c r="B100" s="10">
        <v>5</v>
      </c>
      <c r="C100" s="11">
        <v>4.0959999999999998E-3</v>
      </c>
      <c r="D100" s="12">
        <f>tb_Auditoria[[#This Row],[% TAXA RELATÓRIO]]*tb_Auditoria[[#This Row],[VALOR CRÉDITO]]</f>
        <v>1142.85334528</v>
      </c>
      <c r="E100" s="13">
        <v>46129</v>
      </c>
      <c r="F100" s="14" t="s">
        <v>15</v>
      </c>
      <c r="G10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0" s="19">
        <f>IFERROR(INDEX([1]!tb_Vendas[Crédito],MATCH(tb_Auditoria[[#This Row],[Nº CONTRATO]],[1]!tb_Vendas[Nº Contrato],0)),0)</f>
        <v>279016.93</v>
      </c>
      <c r="K100" s="21">
        <f>IFERROR(tb_Auditoria[[#This Row],[VALOR ESPERADO]] / tb_Auditoria[[#This Row],[VALOR CRÉDITO]], 0)</f>
        <v>0</v>
      </c>
      <c r="L100" s="19" t="e">
        <f>SUMIFS([1]!Motor_Comissão[Valor Previsto],[1]!Motor_Comissão[Chave], tb_Auditoria[[#This Row],[Nº CONTRATO]]&amp;"-"&amp;tb_Auditoria[[#This Row],[PARCELA ATUAL]])</f>
        <v>#REF!</v>
      </c>
      <c r="M100" s="19" t="e">
        <f>tb_Auditoria[[#This Row],[VALOR PAGO]] - tb_Auditoria[[#This Row],[VALOR ESPERADO]]</f>
        <v>#REF!</v>
      </c>
      <c r="N1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" spans="1:15">
      <c r="A101" s="9">
        <v>1154628</v>
      </c>
      <c r="B101" s="10">
        <v>6</v>
      </c>
      <c r="C101" s="11">
        <v>4.0959999999999998E-3</v>
      </c>
      <c r="D101" s="12">
        <f>tb_Auditoria[[#This Row],[% TAXA RELATÓRIO]]*tb_Auditoria[[#This Row],[VALOR CRÉDITO]]</f>
        <v>2455.2108441599999</v>
      </c>
      <c r="E101" s="13">
        <v>46161</v>
      </c>
      <c r="F101" s="14" t="s">
        <v>15</v>
      </c>
      <c r="G10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1" s="19">
        <f>IFERROR(INDEX([1]!tb_Vendas[Crédito],MATCH(tb_Auditoria[[#This Row],[Nº CONTRATO]],[1]!tb_Vendas[Nº Contrato],0)),0)</f>
        <v>599416.71</v>
      </c>
      <c r="K101" s="21">
        <f>IFERROR(tb_Auditoria[[#This Row],[VALOR ESPERADO]] / tb_Auditoria[[#This Row],[VALOR CRÉDITO]], 0)</f>
        <v>0</v>
      </c>
      <c r="L101" s="19" t="e">
        <f>SUMIFS([1]!Motor_Comissão[Valor Previsto],[1]!Motor_Comissão[Chave], tb_Auditoria[[#This Row],[Nº CONTRATO]]&amp;"-"&amp;tb_Auditoria[[#This Row],[PARCELA ATUAL]])</f>
        <v>#REF!</v>
      </c>
      <c r="M101" s="19" t="e">
        <f>tb_Auditoria[[#This Row],[VALOR PAGO]] - tb_Auditoria[[#This Row],[VALOR ESPERADO]]</f>
        <v>#REF!</v>
      </c>
      <c r="N1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" spans="1:15">
      <c r="A102" s="9">
        <v>1154631</v>
      </c>
      <c r="B102" s="10">
        <v>6</v>
      </c>
      <c r="C102" s="11">
        <v>4.0959999999999998E-3</v>
      </c>
      <c r="D102" s="12">
        <f>tb_Auditoria[[#This Row],[% TAXA RELATÓRIO]]*tb_Auditoria[[#This Row],[VALOR CRÉDITO]]</f>
        <v>2455.2108441599999</v>
      </c>
      <c r="E102" s="13">
        <v>46161</v>
      </c>
      <c r="F102" s="14" t="s">
        <v>15</v>
      </c>
      <c r="G10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2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2" s="23">
        <f>IFERROR(INDEX([1]!tb_Vendas[Crédito],MATCH(tb_Auditoria[[#This Row],[Nº CONTRATO]],[1]!tb_Vendas[Nº Contrato],0)),0)</f>
        <v>599416.71</v>
      </c>
      <c r="K102" s="22">
        <f>IFERROR(tb_Auditoria[[#This Row],[VALOR ESPERADO]] / tb_Auditoria[[#This Row],[VALOR CRÉDITO]], 0)</f>
        <v>0</v>
      </c>
      <c r="L102" s="23" t="e">
        <f>SUMIFS([1]!Motor_Comissão[Valor Previsto],[1]!Motor_Comissão[Chave], tb_Auditoria[[#This Row],[Nº CONTRATO]]&amp;"-"&amp;tb_Auditoria[[#This Row],[PARCELA ATUAL]])</f>
        <v>#REF!</v>
      </c>
      <c r="M102" s="23" t="e">
        <f>tb_Auditoria[[#This Row],[VALOR PAGO]] - tb_Auditoria[[#This Row],[VALOR ESPERADO]]</f>
        <v>#REF!</v>
      </c>
      <c r="N102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" spans="1:15">
      <c r="A103" s="9">
        <v>1154632</v>
      </c>
      <c r="B103" s="10">
        <v>6</v>
      </c>
      <c r="C103" s="11">
        <v>4.0959999999999998E-3</v>
      </c>
      <c r="D103" s="12">
        <f>tb_Auditoria[[#This Row],[% TAXA RELATÓRIO]]*tb_Auditoria[[#This Row],[VALOR CRÉDITO]]</f>
        <v>2455.2108441599999</v>
      </c>
      <c r="E103" s="13">
        <v>46161</v>
      </c>
      <c r="F103" s="14" t="s">
        <v>15</v>
      </c>
      <c r="G10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3" s="19">
        <f>IFERROR(INDEX([1]!tb_Vendas[Crédito],MATCH(tb_Auditoria[[#This Row],[Nº CONTRATO]],[1]!tb_Vendas[Nº Contrato],0)),0)</f>
        <v>599416.71</v>
      </c>
      <c r="K103" s="21">
        <f>IFERROR(tb_Auditoria[[#This Row],[VALOR ESPERADO]] / tb_Auditoria[[#This Row],[VALOR CRÉDITO]], 0)</f>
        <v>0</v>
      </c>
      <c r="L103" s="19" t="e">
        <f>SUMIFS([1]!Motor_Comissão[Valor Previsto],[1]!Motor_Comissão[Chave], tb_Auditoria[[#This Row],[Nº CONTRATO]]&amp;"-"&amp;tb_Auditoria[[#This Row],[PARCELA ATUAL]])</f>
        <v>#REF!</v>
      </c>
      <c r="M103" s="19" t="e">
        <f>tb_Auditoria[[#This Row],[VALOR PAGO]] - tb_Auditoria[[#This Row],[VALOR ESPERADO]]</f>
        <v>#REF!</v>
      </c>
      <c r="N1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" spans="1:15">
      <c r="A104" s="9">
        <v>1154634</v>
      </c>
      <c r="B104" s="10">
        <v>6</v>
      </c>
      <c r="C104" s="11">
        <v>4.0959999999999998E-3</v>
      </c>
      <c r="D104" s="12">
        <f>tb_Auditoria[[#This Row],[% TAXA RELATÓRIO]]*tb_Auditoria[[#This Row],[VALOR CRÉDITO]]</f>
        <v>2455.2108441599999</v>
      </c>
      <c r="E104" s="13">
        <v>46161</v>
      </c>
      <c r="F104" s="14" t="s">
        <v>15</v>
      </c>
      <c r="G10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4" s="19">
        <f>IFERROR(INDEX([1]!tb_Vendas[Crédito],MATCH(tb_Auditoria[[#This Row],[Nº CONTRATO]],[1]!tb_Vendas[Nº Contrato],0)),0)</f>
        <v>599416.71</v>
      </c>
      <c r="K104" s="21">
        <f>IFERROR(tb_Auditoria[[#This Row],[VALOR ESPERADO]] / tb_Auditoria[[#This Row],[VALOR CRÉDITO]], 0)</f>
        <v>0</v>
      </c>
      <c r="L104" s="19" t="e">
        <f>SUMIFS([1]!Motor_Comissão[Valor Previsto],[1]!Motor_Comissão[Chave], tb_Auditoria[[#This Row],[Nº CONTRATO]]&amp;"-"&amp;tb_Auditoria[[#This Row],[PARCELA ATUAL]])</f>
        <v>#REF!</v>
      </c>
      <c r="M104" s="19" t="e">
        <f>tb_Auditoria[[#This Row],[VALOR PAGO]] - tb_Auditoria[[#This Row],[VALOR ESPERADO]]</f>
        <v>#REF!</v>
      </c>
      <c r="N1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" spans="1:15">
      <c r="A105" s="9">
        <v>1154635</v>
      </c>
      <c r="B105" s="10">
        <v>6</v>
      </c>
      <c r="C105" s="11">
        <v>4.0959999999999998E-3</v>
      </c>
      <c r="D105" s="12">
        <f>tb_Auditoria[[#This Row],[% TAXA RELATÓRIO]]*tb_Auditoria[[#This Row],[VALOR CRÉDITO]]</f>
        <v>2455.2108441599999</v>
      </c>
      <c r="E105" s="13">
        <v>46161</v>
      </c>
      <c r="F105" s="14" t="s">
        <v>15</v>
      </c>
      <c r="G10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5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5" s="23">
        <f>IFERROR(INDEX([1]!tb_Vendas[Crédito],MATCH(tb_Auditoria[[#This Row],[Nº CONTRATO]],[1]!tb_Vendas[Nº Contrato],0)),0)</f>
        <v>599416.71</v>
      </c>
      <c r="K105" s="22">
        <f>IFERROR(tb_Auditoria[[#This Row],[VALOR ESPERADO]] / tb_Auditoria[[#This Row],[VALOR CRÉDITO]], 0)</f>
        <v>0</v>
      </c>
      <c r="L105" s="23" t="e">
        <f>SUMIFS([1]!Motor_Comissão[Valor Previsto],[1]!Motor_Comissão[Chave], tb_Auditoria[[#This Row],[Nº CONTRATO]]&amp;"-"&amp;tb_Auditoria[[#This Row],[PARCELA ATUAL]])</f>
        <v>#REF!</v>
      </c>
      <c r="M105" s="23" t="e">
        <f>tb_Auditoria[[#This Row],[VALOR PAGO]] - tb_Auditoria[[#This Row],[VALOR ESPERADO]]</f>
        <v>#REF!</v>
      </c>
      <c r="N105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" spans="1:15">
      <c r="A106" s="9">
        <v>1155363</v>
      </c>
      <c r="B106" s="10">
        <v>6</v>
      </c>
      <c r="C106" s="11">
        <v>4.0959999999999998E-3</v>
      </c>
      <c r="D106" s="12">
        <f>tb_Auditoria[[#This Row],[% TAXA RELATÓRIO]]*tb_Auditoria[[#This Row],[VALOR CRÉDITO]]</f>
        <v>1723.1446015999998</v>
      </c>
      <c r="E106" s="13">
        <v>46161</v>
      </c>
      <c r="F106" s="14" t="s">
        <v>15</v>
      </c>
      <c r="G10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6" s="19">
        <f>IFERROR(INDEX([1]!tb_Vendas[Crédito],MATCH(tb_Auditoria[[#This Row],[Nº CONTRATO]],[1]!tb_Vendas[Nº Contrato],0)),0)</f>
        <v>420689.6</v>
      </c>
      <c r="K106" s="21">
        <f>IFERROR(tb_Auditoria[[#This Row],[VALOR ESPERADO]] / tb_Auditoria[[#This Row],[VALOR CRÉDITO]], 0)</f>
        <v>0</v>
      </c>
      <c r="L106" s="19" t="e">
        <f>SUMIFS([1]!Motor_Comissão[Valor Previsto],[1]!Motor_Comissão[Chave], tb_Auditoria[[#This Row],[Nº CONTRATO]]&amp;"-"&amp;tb_Auditoria[[#This Row],[PARCELA ATUAL]])</f>
        <v>#REF!</v>
      </c>
      <c r="M106" s="19" t="e">
        <f>tb_Auditoria[[#This Row],[VALOR PAGO]] - tb_Auditoria[[#This Row],[VALOR ESPERADO]]</f>
        <v>#REF!</v>
      </c>
      <c r="N1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" spans="1:15">
      <c r="A107" s="9">
        <v>1155368</v>
      </c>
      <c r="B107" s="10">
        <v>6</v>
      </c>
      <c r="C107" s="11">
        <v>4.0959999999999998E-3</v>
      </c>
      <c r="D107" s="12">
        <f>tb_Auditoria[[#This Row],[% TAXA RELATÓRIO]]*tb_Auditoria[[#This Row],[VALOR CRÉDITO]]</f>
        <v>1638.3999999999999</v>
      </c>
      <c r="E107" s="13">
        <v>46161</v>
      </c>
      <c r="F107" s="14" t="s">
        <v>15</v>
      </c>
      <c r="G10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7" s="19">
        <f>IFERROR(INDEX([1]!tb_Vendas[Crédito],MATCH(tb_Auditoria[[#This Row],[Nº CONTRATO]],[1]!tb_Vendas[Nº Contrato],0)),0)</f>
        <v>400000</v>
      </c>
      <c r="K107" s="21">
        <f>IFERROR(tb_Auditoria[[#This Row],[VALOR ESPERADO]] / tb_Auditoria[[#This Row],[VALOR CRÉDITO]], 0)</f>
        <v>0</v>
      </c>
      <c r="L107" s="19" t="e">
        <f>SUMIFS([1]!Motor_Comissão[Valor Previsto],[1]!Motor_Comissão[Chave], tb_Auditoria[[#This Row],[Nº CONTRATO]]&amp;"-"&amp;tb_Auditoria[[#This Row],[PARCELA ATUAL]])</f>
        <v>#REF!</v>
      </c>
      <c r="M107" s="19" t="e">
        <f>tb_Auditoria[[#This Row],[VALOR PAGO]] - tb_Auditoria[[#This Row],[VALOR ESPERADO]]</f>
        <v>#REF!</v>
      </c>
      <c r="N1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" spans="1:15">
      <c r="A108" s="9">
        <v>1155371</v>
      </c>
      <c r="B108" s="10">
        <v>6</v>
      </c>
      <c r="C108" s="11">
        <v>4.0959999999999998E-3</v>
      </c>
      <c r="D108" s="12">
        <f>tb_Auditoria[[#This Row],[% TAXA RELATÓRIO]]*tb_Auditoria[[#This Row],[VALOR CRÉDITO]]</f>
        <v>1638.3999999999999</v>
      </c>
      <c r="E108" s="13">
        <v>46161</v>
      </c>
      <c r="F108" s="14" t="s">
        <v>15</v>
      </c>
      <c r="G10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8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8" s="23">
        <f>IFERROR(INDEX([1]!tb_Vendas[Crédito],MATCH(tb_Auditoria[[#This Row],[Nº CONTRATO]],[1]!tb_Vendas[Nº Contrato],0)),0)</f>
        <v>400000</v>
      </c>
      <c r="K108" s="22">
        <f>IFERROR(tb_Auditoria[[#This Row],[VALOR ESPERADO]] / tb_Auditoria[[#This Row],[VALOR CRÉDITO]], 0)</f>
        <v>0</v>
      </c>
      <c r="L108" s="23" t="e">
        <f>SUMIFS([1]!Motor_Comissão[Valor Previsto],[1]!Motor_Comissão[Chave], tb_Auditoria[[#This Row],[Nº CONTRATO]]&amp;"-"&amp;tb_Auditoria[[#This Row],[PARCELA ATUAL]])</f>
        <v>#REF!</v>
      </c>
      <c r="M108" s="23" t="e">
        <f>tb_Auditoria[[#This Row],[VALOR PAGO]] - tb_Auditoria[[#This Row],[VALOR ESPERADO]]</f>
        <v>#REF!</v>
      </c>
      <c r="N108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" spans="1:15">
      <c r="A109" s="9">
        <v>1155373</v>
      </c>
      <c r="B109" s="10">
        <v>6</v>
      </c>
      <c r="C109" s="11">
        <v>1.5E-3</v>
      </c>
      <c r="D109" s="12">
        <f>tb_Auditoria[[#This Row],[% TAXA RELATÓRIO]]*tb_Auditoria[[#This Row],[VALOR CRÉDITO]]</f>
        <v>600</v>
      </c>
      <c r="E109" s="13">
        <v>46161</v>
      </c>
      <c r="F109" s="14" t="s">
        <v>15</v>
      </c>
      <c r="G10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0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09" s="19">
        <f>IFERROR(INDEX([1]!tb_Vendas[Crédito],MATCH(tb_Auditoria[[#This Row],[Nº CONTRATO]],[1]!tb_Vendas[Nº Contrato],0)),0)</f>
        <v>400000</v>
      </c>
      <c r="K109" s="21">
        <f>IFERROR(tb_Auditoria[[#This Row],[VALOR ESPERADO]] / tb_Auditoria[[#This Row],[VALOR CRÉDITO]], 0)</f>
        <v>0</v>
      </c>
      <c r="L109" s="19" t="e">
        <f>SUMIFS([1]!Motor_Comissão[Valor Previsto],[1]!Motor_Comissão[Chave], tb_Auditoria[[#This Row],[Nº CONTRATO]]&amp;"-"&amp;tb_Auditoria[[#This Row],[PARCELA ATUAL]])</f>
        <v>#REF!</v>
      </c>
      <c r="M109" s="19" t="e">
        <f>tb_Auditoria[[#This Row],[VALOR PAGO]] - tb_Auditoria[[#This Row],[VALOR ESPERADO]]</f>
        <v>#REF!</v>
      </c>
      <c r="N1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" spans="1:15">
      <c r="A110" s="9">
        <v>1155376</v>
      </c>
      <c r="B110" s="10">
        <v>6</v>
      </c>
      <c r="C110" s="11">
        <v>1.5E-3</v>
      </c>
      <c r="D110" s="12">
        <f>tb_Auditoria[[#This Row],[% TAXA RELATÓRIO]]*tb_Auditoria[[#This Row],[VALOR CRÉDITO]]</f>
        <v>600</v>
      </c>
      <c r="E110" s="13">
        <v>46161</v>
      </c>
      <c r="F110" s="14" t="s">
        <v>15</v>
      </c>
      <c r="G11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0" s="19">
        <f>IFERROR(INDEX([1]!tb_Vendas[Crédito],MATCH(tb_Auditoria[[#This Row],[Nº CONTRATO]],[1]!tb_Vendas[Nº Contrato],0)),0)</f>
        <v>400000</v>
      </c>
      <c r="K110" s="21">
        <f>IFERROR(tb_Auditoria[[#This Row],[VALOR ESPERADO]] / tb_Auditoria[[#This Row],[VALOR CRÉDITO]], 0)</f>
        <v>0</v>
      </c>
      <c r="L110" s="19" t="e">
        <f>SUMIFS([1]!Motor_Comissão[Valor Previsto],[1]!Motor_Comissão[Chave], tb_Auditoria[[#This Row],[Nº CONTRATO]]&amp;"-"&amp;tb_Auditoria[[#This Row],[PARCELA ATUAL]])</f>
        <v>#REF!</v>
      </c>
      <c r="M110" s="19" t="e">
        <f>tb_Auditoria[[#This Row],[VALOR PAGO]] - tb_Auditoria[[#This Row],[VALOR ESPERADO]]</f>
        <v>#REF!</v>
      </c>
      <c r="N1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" spans="1:15">
      <c r="A111" s="9">
        <v>1155380</v>
      </c>
      <c r="B111" s="10">
        <v>6</v>
      </c>
      <c r="C111" s="11">
        <v>4.0959999999999998E-3</v>
      </c>
      <c r="D111" s="12">
        <f>tb_Auditoria[[#This Row],[% TAXA RELATÓRIO]]*tb_Auditoria[[#This Row],[VALOR CRÉDITO]]</f>
        <v>1228.8</v>
      </c>
      <c r="E111" s="13">
        <v>46161</v>
      </c>
      <c r="F111" s="14" t="s">
        <v>15</v>
      </c>
      <c r="G11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1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1" s="23">
        <f>IFERROR(INDEX([1]!tb_Vendas[Crédito],MATCH(tb_Auditoria[[#This Row],[Nº CONTRATO]],[1]!tb_Vendas[Nº Contrato],0)),0)</f>
        <v>300000</v>
      </c>
      <c r="K111" s="22">
        <f>IFERROR(tb_Auditoria[[#This Row],[VALOR ESPERADO]] / tb_Auditoria[[#This Row],[VALOR CRÉDITO]], 0)</f>
        <v>0</v>
      </c>
      <c r="L111" s="23" t="e">
        <f>SUMIFS([1]!Motor_Comissão[Valor Previsto],[1]!Motor_Comissão[Chave], tb_Auditoria[[#This Row],[Nº CONTRATO]]&amp;"-"&amp;tb_Auditoria[[#This Row],[PARCELA ATUAL]])</f>
        <v>#REF!</v>
      </c>
      <c r="M111" s="23" t="e">
        <f>tb_Auditoria[[#This Row],[VALOR PAGO]] - tb_Auditoria[[#This Row],[VALOR ESPERADO]]</f>
        <v>#REF!</v>
      </c>
      <c r="N111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" spans="1:15">
      <c r="A112" s="9">
        <v>1155383</v>
      </c>
      <c r="B112" s="10">
        <v>6</v>
      </c>
      <c r="C112" s="11">
        <v>4.0959999999999998E-3</v>
      </c>
      <c r="D112" s="12">
        <f>tb_Auditoria[[#This Row],[% TAXA RELATÓRIO]]*tb_Auditoria[[#This Row],[VALOR CRÉDITO]]</f>
        <v>1228.8</v>
      </c>
      <c r="E112" s="13">
        <v>46161</v>
      </c>
      <c r="F112" s="14" t="s">
        <v>15</v>
      </c>
      <c r="G11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2" s="19">
        <f>IFERROR(INDEX([1]!tb_Vendas[Crédito],MATCH(tb_Auditoria[[#This Row],[Nº CONTRATO]],[1]!tb_Vendas[Nº Contrato],0)),0)</f>
        <v>300000</v>
      </c>
      <c r="K112" s="21">
        <f>IFERROR(tb_Auditoria[[#This Row],[VALOR ESPERADO]] / tb_Auditoria[[#This Row],[VALOR CRÉDITO]], 0)</f>
        <v>0</v>
      </c>
      <c r="L112" s="19" t="e">
        <f>SUMIFS([1]!Motor_Comissão[Valor Previsto],[1]!Motor_Comissão[Chave], tb_Auditoria[[#This Row],[Nº CONTRATO]]&amp;"-"&amp;tb_Auditoria[[#This Row],[PARCELA ATUAL]])</f>
        <v>#REF!</v>
      </c>
      <c r="M112" s="19" t="e">
        <f>tb_Auditoria[[#This Row],[VALOR PAGO]] - tb_Auditoria[[#This Row],[VALOR ESPERADO]]</f>
        <v>#REF!</v>
      </c>
      <c r="N1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" spans="1:15">
      <c r="A113" s="9">
        <v>1155384</v>
      </c>
      <c r="B113" s="10">
        <v>6</v>
      </c>
      <c r="C113" s="11">
        <v>1.3760000000000001E-3</v>
      </c>
      <c r="D113" s="12">
        <f>tb_Auditoria[[#This Row],[% TAXA RELATÓRIO]]*tb_Auditoria[[#This Row],[VALOR CRÉDITO]]</f>
        <v>412.8</v>
      </c>
      <c r="E113" s="13">
        <v>46161</v>
      </c>
      <c r="F113" s="14" t="s">
        <v>15</v>
      </c>
      <c r="G11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3" s="19">
        <f>IFERROR(INDEX([1]!tb_Vendas[Crédito],MATCH(tb_Auditoria[[#This Row],[Nº CONTRATO]],[1]!tb_Vendas[Nº Contrato],0)),0)</f>
        <v>300000</v>
      </c>
      <c r="K113" s="21">
        <f>IFERROR(tb_Auditoria[[#This Row],[VALOR ESPERADO]] / tb_Auditoria[[#This Row],[VALOR CRÉDITO]], 0)</f>
        <v>0</v>
      </c>
      <c r="L113" s="19" t="e">
        <f>SUMIFS([1]!Motor_Comissão[Valor Previsto],[1]!Motor_Comissão[Chave], tb_Auditoria[[#This Row],[Nº CONTRATO]]&amp;"-"&amp;tb_Auditoria[[#This Row],[PARCELA ATUAL]])</f>
        <v>#REF!</v>
      </c>
      <c r="M113" s="19" t="e">
        <f>tb_Auditoria[[#This Row],[VALOR PAGO]] - tb_Auditoria[[#This Row],[VALOR ESPERADO]]</f>
        <v>#REF!</v>
      </c>
      <c r="N1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" spans="1:15">
      <c r="A114" s="9">
        <v>1155387</v>
      </c>
      <c r="B114" s="10">
        <v>6</v>
      </c>
      <c r="C114" s="11">
        <v>4.0959999999999998E-3</v>
      </c>
      <c r="D114" s="12">
        <f>tb_Auditoria[[#This Row],[% TAXA RELATÓRIO]]*tb_Auditoria[[#This Row],[VALOR CRÉDITO]]</f>
        <v>1249.3855539200001</v>
      </c>
      <c r="E114" s="13">
        <v>46161</v>
      </c>
      <c r="F114" s="14" t="s">
        <v>15</v>
      </c>
      <c r="G11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4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4" s="23">
        <f>IFERROR(INDEX([1]!tb_Vendas[Crédito],MATCH(tb_Auditoria[[#This Row],[Nº CONTRATO]],[1]!tb_Vendas[Nº Contrato],0)),0)</f>
        <v>305025.77</v>
      </c>
      <c r="K114" s="22">
        <f>IFERROR(tb_Auditoria[[#This Row],[VALOR ESPERADO]] / tb_Auditoria[[#This Row],[VALOR CRÉDITO]], 0)</f>
        <v>0</v>
      </c>
      <c r="L114" s="23" t="e">
        <f>SUMIFS([1]!Motor_Comissão[Valor Previsto],[1]!Motor_Comissão[Chave], tb_Auditoria[[#This Row],[Nº CONTRATO]]&amp;"-"&amp;tb_Auditoria[[#This Row],[PARCELA ATUAL]])</f>
        <v>#REF!</v>
      </c>
      <c r="M114" s="23" t="e">
        <f>tb_Auditoria[[#This Row],[VALOR PAGO]] - tb_Auditoria[[#This Row],[VALOR ESPERADO]]</f>
        <v>#REF!</v>
      </c>
      <c r="N114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" spans="1:15">
      <c r="A115" s="9">
        <v>1155388</v>
      </c>
      <c r="B115" s="10">
        <v>6</v>
      </c>
      <c r="C115" s="11">
        <v>4.0959999999999998E-3</v>
      </c>
      <c r="D115" s="12">
        <f>tb_Auditoria[[#This Row],[% TAXA RELATÓRIO]]*tb_Auditoria[[#This Row],[VALOR CRÉDITO]]</f>
        <v>1249.3855539200001</v>
      </c>
      <c r="E115" s="13">
        <v>46161</v>
      </c>
      <c r="F115" s="14" t="s">
        <v>15</v>
      </c>
      <c r="G11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5" s="19">
        <f>IFERROR(INDEX([1]!tb_Vendas[Crédito],MATCH(tb_Auditoria[[#This Row],[Nº CONTRATO]],[1]!tb_Vendas[Nº Contrato],0)),0)</f>
        <v>305025.77</v>
      </c>
      <c r="K115" s="21">
        <f>IFERROR(tb_Auditoria[[#This Row],[VALOR ESPERADO]] / tb_Auditoria[[#This Row],[VALOR CRÉDITO]], 0)</f>
        <v>0</v>
      </c>
      <c r="L115" s="19" t="e">
        <f>SUMIFS([1]!Motor_Comissão[Valor Previsto],[1]!Motor_Comissão[Chave], tb_Auditoria[[#This Row],[Nº CONTRATO]]&amp;"-"&amp;tb_Auditoria[[#This Row],[PARCELA ATUAL]])</f>
        <v>#REF!</v>
      </c>
      <c r="M115" s="19" t="e">
        <f>tb_Auditoria[[#This Row],[VALOR PAGO]] - tb_Auditoria[[#This Row],[VALOR ESPERADO]]</f>
        <v>#REF!</v>
      </c>
      <c r="N1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" spans="1:15">
      <c r="A116" s="9">
        <v>1155389</v>
      </c>
      <c r="B116" s="10">
        <v>6</v>
      </c>
      <c r="C116" s="11">
        <v>4.0959999999999998E-3</v>
      </c>
      <c r="D116" s="12">
        <f>tb_Auditoria[[#This Row],[% TAXA RELATÓRIO]]*tb_Auditoria[[#This Row],[VALOR CRÉDITO]]</f>
        <v>1169.3723647999998</v>
      </c>
      <c r="E116" s="13">
        <v>46161</v>
      </c>
      <c r="F116" s="14" t="s">
        <v>15</v>
      </c>
      <c r="G11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6" s="19">
        <f>IFERROR(INDEX([1]!tb_Vendas[Crédito],MATCH(tb_Auditoria[[#This Row],[Nº CONTRATO]],[1]!tb_Vendas[Nº Contrato],0)),0)</f>
        <v>285491.3</v>
      </c>
      <c r="K116" s="21">
        <f>IFERROR(tb_Auditoria[[#This Row],[VALOR ESPERADO]] / tb_Auditoria[[#This Row],[VALOR CRÉDITO]], 0)</f>
        <v>0</v>
      </c>
      <c r="L116" s="19" t="e">
        <f>SUMIFS([1]!Motor_Comissão[Valor Previsto],[1]!Motor_Comissão[Chave], tb_Auditoria[[#This Row],[Nº CONTRATO]]&amp;"-"&amp;tb_Auditoria[[#This Row],[PARCELA ATUAL]])</f>
        <v>#REF!</v>
      </c>
      <c r="M116" s="19" t="e">
        <f>tb_Auditoria[[#This Row],[VALOR PAGO]] - tb_Auditoria[[#This Row],[VALOR ESPERADO]]</f>
        <v>#REF!</v>
      </c>
      <c r="N1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" spans="1:15">
      <c r="A117" s="9">
        <v>1155390</v>
      </c>
      <c r="B117" s="10">
        <v>6</v>
      </c>
      <c r="C117" s="11">
        <v>4.0959999999999998E-3</v>
      </c>
      <c r="D117" s="12">
        <f>tb_Auditoria[[#This Row],[% TAXA RELATÓRIO]]*tb_Auditoria[[#This Row],[VALOR CRÉDITO]]</f>
        <v>1169.3723647999998</v>
      </c>
      <c r="E117" s="13">
        <v>46161</v>
      </c>
      <c r="F117" s="14" t="s">
        <v>15</v>
      </c>
      <c r="G11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7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7" s="23">
        <f>IFERROR(INDEX([1]!tb_Vendas[Crédito],MATCH(tb_Auditoria[[#This Row],[Nº CONTRATO]],[1]!tb_Vendas[Nº Contrato],0)),0)</f>
        <v>285491.3</v>
      </c>
      <c r="K117" s="22">
        <f>IFERROR(tb_Auditoria[[#This Row],[VALOR ESPERADO]] / tb_Auditoria[[#This Row],[VALOR CRÉDITO]], 0)</f>
        <v>0</v>
      </c>
      <c r="L117" s="23" t="e">
        <f>SUMIFS([1]!Motor_Comissão[Valor Previsto],[1]!Motor_Comissão[Chave], tb_Auditoria[[#This Row],[Nº CONTRATO]]&amp;"-"&amp;tb_Auditoria[[#This Row],[PARCELA ATUAL]])</f>
        <v>#REF!</v>
      </c>
      <c r="M117" s="23" t="e">
        <f>tb_Auditoria[[#This Row],[VALOR PAGO]] - tb_Auditoria[[#This Row],[VALOR ESPERADO]]</f>
        <v>#REF!</v>
      </c>
      <c r="N117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" spans="1:15">
      <c r="A118" s="9">
        <v>1155391</v>
      </c>
      <c r="B118" s="10">
        <v>6</v>
      </c>
      <c r="C118" s="11">
        <v>4.0959999999999998E-3</v>
      </c>
      <c r="D118" s="12">
        <f>tb_Auditoria[[#This Row],[% TAXA RELATÓRIO]]*tb_Auditoria[[#This Row],[VALOR CRÉDITO]]</f>
        <v>1142.85334528</v>
      </c>
      <c r="E118" s="13">
        <v>46161</v>
      </c>
      <c r="F118" s="14" t="s">
        <v>15</v>
      </c>
      <c r="G11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8" s="19">
        <f>IFERROR(INDEX([1]!tb_Vendas[Crédito],MATCH(tb_Auditoria[[#This Row],[Nº CONTRATO]],[1]!tb_Vendas[Nº Contrato],0)),0)</f>
        <v>279016.93</v>
      </c>
      <c r="K118" s="21">
        <f>IFERROR(tb_Auditoria[[#This Row],[VALOR ESPERADO]] / tb_Auditoria[[#This Row],[VALOR CRÉDITO]], 0)</f>
        <v>0</v>
      </c>
      <c r="L118" s="19" t="e">
        <f>SUMIFS([1]!Motor_Comissão[Valor Previsto],[1]!Motor_Comissão[Chave], tb_Auditoria[[#This Row],[Nº CONTRATO]]&amp;"-"&amp;tb_Auditoria[[#This Row],[PARCELA ATUAL]])</f>
        <v>#REF!</v>
      </c>
      <c r="M118" s="19" t="e">
        <f>tb_Auditoria[[#This Row],[VALOR PAGO]] - tb_Auditoria[[#This Row],[VALOR ESPERADO]]</f>
        <v>#REF!</v>
      </c>
      <c r="N1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" spans="1:15">
      <c r="A119" s="9">
        <v>1155392</v>
      </c>
      <c r="B119" s="10">
        <v>6</v>
      </c>
      <c r="C119" s="11">
        <v>4.0959999999999998E-3</v>
      </c>
      <c r="D119" s="12">
        <f>tb_Auditoria[[#This Row],[% TAXA RELATÓRIO]]*tb_Auditoria[[#This Row],[VALOR CRÉDITO]]</f>
        <v>1142.85334528</v>
      </c>
      <c r="E119" s="13">
        <v>46161</v>
      </c>
      <c r="F119" s="14" t="s">
        <v>15</v>
      </c>
      <c r="G11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T &amp; F ADMINISTRACAO E PARTICIPACAO DE BENS PROPRIOS LTDA</v>
      </c>
      <c r="I11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119" s="19">
        <f>IFERROR(INDEX([1]!tb_Vendas[Crédito],MATCH(tb_Auditoria[[#This Row],[Nº CONTRATO]],[1]!tb_Vendas[Nº Contrato],0)),0)</f>
        <v>279016.93</v>
      </c>
      <c r="K119" s="21">
        <f>IFERROR(tb_Auditoria[[#This Row],[VALOR ESPERADO]] / tb_Auditoria[[#This Row],[VALOR CRÉDITO]], 0)</f>
        <v>0</v>
      </c>
      <c r="L119" s="19" t="e">
        <f>SUMIFS([1]!Motor_Comissão[Valor Previsto],[1]!Motor_Comissão[Chave], tb_Auditoria[[#This Row],[Nº CONTRATO]]&amp;"-"&amp;tb_Auditoria[[#This Row],[PARCELA ATUAL]])</f>
        <v>#REF!</v>
      </c>
      <c r="M119" s="19" t="e">
        <f>tb_Auditoria[[#This Row],[VALOR PAGO]] - tb_Auditoria[[#This Row],[VALOR ESPERADO]]</f>
        <v>#REF!</v>
      </c>
      <c r="N1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" spans="1:15">
      <c r="A120" s="9">
        <v>1150449</v>
      </c>
      <c r="B120" s="10">
        <v>1</v>
      </c>
      <c r="C120" s="28">
        <v>4.0959999999999998E-3</v>
      </c>
      <c r="D120" s="12">
        <f>tb_Auditoria[[#This Row],[% TAXA RELATÓRIO]]*tb_Auditoria[[#This Row],[VALOR CRÉDITO]]</f>
        <v>1228.8</v>
      </c>
      <c r="E120" s="13">
        <v>45887</v>
      </c>
      <c r="F120" s="29" t="s">
        <v>16</v>
      </c>
      <c r="G12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20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20" s="23">
        <f>IFERROR(INDEX([1]!tb_Vendas[Crédito],MATCH(tb_Auditoria[[#This Row],[Nº CONTRATO]],[1]!tb_Vendas[Nº Contrato],0)),0)</f>
        <v>300000</v>
      </c>
      <c r="K120" s="22">
        <f>IFERROR(tb_Auditoria[[#This Row],[VALOR ESPERADO]] / tb_Auditoria[[#This Row],[VALOR CRÉDITO]], 0)</f>
        <v>0</v>
      </c>
      <c r="L120" s="23" t="e">
        <f>SUMIFS([1]!Motor_Comissão[Valor Previsto],[1]!Motor_Comissão[Chave], tb_Auditoria[[#This Row],[Nº CONTRATO]]&amp;"-"&amp;tb_Auditoria[[#This Row],[PARCELA ATUAL]])</f>
        <v>#REF!</v>
      </c>
      <c r="M120" s="23" t="e">
        <f>tb_Auditoria[[#This Row],[VALOR PAGO]] - tb_Auditoria[[#This Row],[VALOR ESPERADO]]</f>
        <v>#REF!</v>
      </c>
      <c r="N120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" spans="1:15">
      <c r="A121" s="9">
        <v>1150447</v>
      </c>
      <c r="B121" s="10">
        <v>1</v>
      </c>
      <c r="C121" s="28">
        <v>4.0959999999999998E-3</v>
      </c>
      <c r="D121" s="12">
        <f>tb_Auditoria[[#This Row],[% TAXA RELATÓRIO]]*tb_Auditoria[[#This Row],[VALOR CRÉDITO]]</f>
        <v>1228.8</v>
      </c>
      <c r="E121" s="13">
        <v>45887</v>
      </c>
      <c r="F121" s="29" t="s">
        <v>16</v>
      </c>
      <c r="G12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2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21" s="19">
        <f>IFERROR(INDEX([1]!tb_Vendas[Crédito],MATCH(tb_Auditoria[[#This Row],[Nº CONTRATO]],[1]!tb_Vendas[Nº Contrato],0)),0)</f>
        <v>300000</v>
      </c>
      <c r="K121" s="21">
        <f>IFERROR(tb_Auditoria[[#This Row],[VALOR ESPERADO]] / tb_Auditoria[[#This Row],[VALOR CRÉDITO]], 0)</f>
        <v>0</v>
      </c>
      <c r="L121" s="19" t="e">
        <f>SUMIFS([1]!Motor_Comissão[Valor Previsto],[1]!Motor_Comissão[Chave], tb_Auditoria[[#This Row],[Nº CONTRATO]]&amp;"-"&amp;tb_Auditoria[[#This Row],[PARCELA ATUAL]])</f>
        <v>#REF!</v>
      </c>
      <c r="M121" s="19" t="e">
        <f>tb_Auditoria[[#This Row],[VALOR PAGO]] - tb_Auditoria[[#This Row],[VALOR ESPERADO]]</f>
        <v>#REF!</v>
      </c>
      <c r="N1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" spans="1:15">
      <c r="A122" s="9">
        <v>1150448</v>
      </c>
      <c r="B122" s="10">
        <v>1</v>
      </c>
      <c r="C122" s="28">
        <v>4.0959999999999998E-3</v>
      </c>
      <c r="D122" s="12">
        <f>tb_Auditoria[[#This Row],[% TAXA RELATÓRIO]]*tb_Auditoria[[#This Row],[VALOR CRÉDITO]]</f>
        <v>1228.8</v>
      </c>
      <c r="E122" s="13">
        <v>45887</v>
      </c>
      <c r="F122" s="29" t="s">
        <v>16</v>
      </c>
      <c r="G12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2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22" s="19">
        <f>IFERROR(INDEX([1]!tb_Vendas[Crédito],MATCH(tb_Auditoria[[#This Row],[Nº CONTRATO]],[1]!tb_Vendas[Nº Contrato],0)),0)</f>
        <v>300000</v>
      </c>
      <c r="K122" s="21">
        <f>IFERROR(tb_Auditoria[[#This Row],[VALOR ESPERADO]] / tb_Auditoria[[#This Row],[VALOR CRÉDITO]], 0)</f>
        <v>0</v>
      </c>
      <c r="L122" s="19" t="e">
        <f>SUMIFS([1]!Motor_Comissão[Valor Previsto],[1]!Motor_Comissão[Chave], tb_Auditoria[[#This Row],[Nº CONTRATO]]&amp;"-"&amp;tb_Auditoria[[#This Row],[PARCELA ATUAL]])</f>
        <v>#REF!</v>
      </c>
      <c r="M122" s="19" t="e">
        <f>tb_Auditoria[[#This Row],[VALOR PAGO]] - tb_Auditoria[[#This Row],[VALOR ESPERADO]]</f>
        <v>#REF!</v>
      </c>
      <c r="N1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" spans="1:15">
      <c r="A123" s="9">
        <v>1150440</v>
      </c>
      <c r="B123" s="10">
        <v>1</v>
      </c>
      <c r="C123" s="28">
        <v>4.0959999999999998E-3</v>
      </c>
      <c r="D123" s="12">
        <f>tb_Auditoria[[#This Row],[% TAXA RELATÓRIO]]*tb_Auditoria[[#This Row],[VALOR CRÉDITO]]</f>
        <v>1228.8</v>
      </c>
      <c r="E123" s="13">
        <v>45887</v>
      </c>
      <c r="F123" s="29" t="s">
        <v>16</v>
      </c>
      <c r="G12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23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23" s="23">
        <f>IFERROR(INDEX([1]!tb_Vendas[Crédito],MATCH(tb_Auditoria[[#This Row],[Nº CONTRATO]],[1]!tb_Vendas[Nº Contrato],0)),0)</f>
        <v>300000</v>
      </c>
      <c r="K123" s="22">
        <f>IFERROR(tb_Auditoria[[#This Row],[VALOR ESPERADO]] / tb_Auditoria[[#This Row],[VALOR CRÉDITO]], 0)</f>
        <v>0</v>
      </c>
      <c r="L123" s="23" t="e">
        <f>SUMIFS([1]!Motor_Comissão[Valor Previsto],[1]!Motor_Comissão[Chave], tb_Auditoria[[#This Row],[Nº CONTRATO]]&amp;"-"&amp;tb_Auditoria[[#This Row],[PARCELA ATUAL]])</f>
        <v>#REF!</v>
      </c>
      <c r="M123" s="23" t="e">
        <f>tb_Auditoria[[#This Row],[VALOR PAGO]] - tb_Auditoria[[#This Row],[VALOR ESPERADO]]</f>
        <v>#REF!</v>
      </c>
      <c r="N123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" spans="1:15">
      <c r="A124" s="9">
        <v>1150442</v>
      </c>
      <c r="B124" s="10">
        <v>1</v>
      </c>
      <c r="C124" s="28">
        <v>4.0959999999999998E-3</v>
      </c>
      <c r="D124" s="12">
        <f>tb_Auditoria[[#This Row],[% TAXA RELATÓRIO]]*tb_Auditoria[[#This Row],[VALOR CRÉDITO]]</f>
        <v>1228.8</v>
      </c>
      <c r="E124" s="13">
        <v>45887</v>
      </c>
      <c r="F124" s="29" t="s">
        <v>16</v>
      </c>
      <c r="G12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2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24" s="19">
        <f>IFERROR(INDEX([1]!tb_Vendas[Crédito],MATCH(tb_Auditoria[[#This Row],[Nº CONTRATO]],[1]!tb_Vendas[Nº Contrato],0)),0)</f>
        <v>300000</v>
      </c>
      <c r="K124" s="21">
        <f>IFERROR(tb_Auditoria[[#This Row],[VALOR ESPERADO]] / tb_Auditoria[[#This Row],[VALOR CRÉDITO]], 0)</f>
        <v>0</v>
      </c>
      <c r="L124" s="19" t="e">
        <f>SUMIFS([1]!Motor_Comissão[Valor Previsto],[1]!Motor_Comissão[Chave], tb_Auditoria[[#This Row],[Nº CONTRATO]]&amp;"-"&amp;tb_Auditoria[[#This Row],[PARCELA ATUAL]])</f>
        <v>#REF!</v>
      </c>
      <c r="M124" s="19" t="e">
        <f>tb_Auditoria[[#This Row],[VALOR PAGO]] - tb_Auditoria[[#This Row],[VALOR ESPERADO]]</f>
        <v>#REF!</v>
      </c>
      <c r="N1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" spans="1:15">
      <c r="A125" s="9">
        <v>1150443</v>
      </c>
      <c r="B125" s="10">
        <v>1</v>
      </c>
      <c r="C125" s="28">
        <v>4.0959999999999998E-3</v>
      </c>
      <c r="D125" s="12">
        <f>tb_Auditoria[[#This Row],[% TAXA RELATÓRIO]]*tb_Auditoria[[#This Row],[VALOR CRÉDITO]]</f>
        <v>1228.8</v>
      </c>
      <c r="E125" s="13">
        <v>45887</v>
      </c>
      <c r="F125" s="29" t="s">
        <v>16</v>
      </c>
      <c r="G12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2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25" s="19">
        <f>IFERROR(INDEX([1]!tb_Vendas[Crédito],MATCH(tb_Auditoria[[#This Row],[Nº CONTRATO]],[1]!tb_Vendas[Nº Contrato],0)),0)</f>
        <v>300000</v>
      </c>
      <c r="K125" s="21">
        <f>IFERROR(tb_Auditoria[[#This Row],[VALOR ESPERADO]] / tb_Auditoria[[#This Row],[VALOR CRÉDITO]], 0)</f>
        <v>0</v>
      </c>
      <c r="L125" s="19" t="e">
        <f>SUMIFS([1]!Motor_Comissão[Valor Previsto],[1]!Motor_Comissão[Chave], tb_Auditoria[[#This Row],[Nº CONTRATO]]&amp;"-"&amp;tb_Auditoria[[#This Row],[PARCELA ATUAL]])</f>
        <v>#REF!</v>
      </c>
      <c r="M125" s="19" t="e">
        <f>tb_Auditoria[[#This Row],[VALOR PAGO]] - tb_Auditoria[[#This Row],[VALOR ESPERADO]]</f>
        <v>#REF!</v>
      </c>
      <c r="N1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6" spans="1:15">
      <c r="A126" s="9">
        <v>1150446</v>
      </c>
      <c r="B126" s="10">
        <v>1</v>
      </c>
      <c r="C126" s="28">
        <v>4.0959999999999998E-3</v>
      </c>
      <c r="D126" s="12">
        <f>tb_Auditoria[[#This Row],[% TAXA RELATÓRIO]]*tb_Auditoria[[#This Row],[VALOR CRÉDITO]]</f>
        <v>1228.8</v>
      </c>
      <c r="E126" s="13">
        <v>45887</v>
      </c>
      <c r="F126" s="29" t="s">
        <v>16</v>
      </c>
      <c r="G12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6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26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26" s="23">
        <f>IFERROR(INDEX([1]!tb_Vendas[Crédito],MATCH(tb_Auditoria[[#This Row],[Nº CONTRATO]],[1]!tb_Vendas[Nº Contrato],0)),0)</f>
        <v>300000</v>
      </c>
      <c r="K126" s="22">
        <f>IFERROR(tb_Auditoria[[#This Row],[VALOR ESPERADO]] / tb_Auditoria[[#This Row],[VALOR CRÉDITO]], 0)</f>
        <v>0</v>
      </c>
      <c r="L126" s="23" t="e">
        <f>SUMIFS([1]!Motor_Comissão[Valor Previsto],[1]!Motor_Comissão[Chave], tb_Auditoria[[#This Row],[Nº CONTRATO]]&amp;"-"&amp;tb_Auditoria[[#This Row],[PARCELA ATUAL]])</f>
        <v>#REF!</v>
      </c>
      <c r="M126" s="23" t="e">
        <f>tb_Auditoria[[#This Row],[VALOR PAGO]] - tb_Auditoria[[#This Row],[VALOR ESPERADO]]</f>
        <v>#REF!</v>
      </c>
      <c r="N126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6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7" spans="1:15">
      <c r="A127" s="9">
        <v>1150445</v>
      </c>
      <c r="B127" s="10">
        <v>1</v>
      </c>
      <c r="C127" s="28">
        <v>4.0959999999999998E-3</v>
      </c>
      <c r="D127" s="12">
        <f>tb_Auditoria[[#This Row],[% TAXA RELATÓRIO]]*tb_Auditoria[[#This Row],[VALOR CRÉDITO]]</f>
        <v>1228.8</v>
      </c>
      <c r="E127" s="13">
        <v>45887</v>
      </c>
      <c r="F127" s="29" t="s">
        <v>16</v>
      </c>
      <c r="G12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2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27" s="19">
        <f>IFERROR(INDEX([1]!tb_Vendas[Crédito],MATCH(tb_Auditoria[[#This Row],[Nº CONTRATO]],[1]!tb_Vendas[Nº Contrato],0)),0)</f>
        <v>300000</v>
      </c>
      <c r="K127" s="21">
        <f>IFERROR(tb_Auditoria[[#This Row],[VALOR ESPERADO]] / tb_Auditoria[[#This Row],[VALOR CRÉDITO]], 0)</f>
        <v>0</v>
      </c>
      <c r="L127" s="19" t="e">
        <f>SUMIFS([1]!Motor_Comissão[Valor Previsto],[1]!Motor_Comissão[Chave], tb_Auditoria[[#This Row],[Nº CONTRATO]]&amp;"-"&amp;tb_Auditoria[[#This Row],[PARCELA ATUAL]])</f>
        <v>#REF!</v>
      </c>
      <c r="M127" s="19" t="e">
        <f>tb_Auditoria[[#This Row],[VALOR PAGO]] - tb_Auditoria[[#This Row],[VALOR ESPERADO]]</f>
        <v>#REF!</v>
      </c>
      <c r="N1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8" spans="1:15">
      <c r="A128" s="9">
        <v>1150451</v>
      </c>
      <c r="B128" s="10">
        <v>1</v>
      </c>
      <c r="C128" s="28">
        <v>4.0959999999999998E-3</v>
      </c>
      <c r="D128" s="12">
        <f>tb_Auditoria[[#This Row],[% TAXA RELATÓRIO]]*tb_Auditoria[[#This Row],[VALOR CRÉDITO]]</f>
        <v>1228.8</v>
      </c>
      <c r="E128" s="13">
        <v>45887</v>
      </c>
      <c r="F128" s="29" t="s">
        <v>16</v>
      </c>
      <c r="G12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2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28" s="19">
        <f>IFERROR(INDEX([1]!tb_Vendas[Crédito],MATCH(tb_Auditoria[[#This Row],[Nº CONTRATO]],[1]!tb_Vendas[Nº Contrato],0)),0)</f>
        <v>300000</v>
      </c>
      <c r="K128" s="21">
        <f>IFERROR(tb_Auditoria[[#This Row],[VALOR ESPERADO]] / tb_Auditoria[[#This Row],[VALOR CRÉDITO]], 0)</f>
        <v>0</v>
      </c>
      <c r="L128" s="19" t="e">
        <f>SUMIFS([1]!Motor_Comissão[Valor Previsto],[1]!Motor_Comissão[Chave], tb_Auditoria[[#This Row],[Nº CONTRATO]]&amp;"-"&amp;tb_Auditoria[[#This Row],[PARCELA ATUAL]])</f>
        <v>#REF!</v>
      </c>
      <c r="M128" s="19" t="e">
        <f>tb_Auditoria[[#This Row],[VALOR PAGO]] - tb_Auditoria[[#This Row],[VALOR ESPERADO]]</f>
        <v>#REF!</v>
      </c>
      <c r="N1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9" spans="1:15">
      <c r="A129" s="9">
        <v>1150439</v>
      </c>
      <c r="B129" s="10">
        <v>1</v>
      </c>
      <c r="C129" s="28">
        <v>4.0959999999999998E-3</v>
      </c>
      <c r="D129" s="12">
        <f>tb_Auditoria[[#This Row],[% TAXA RELATÓRIO]]*tb_Auditoria[[#This Row],[VALOR CRÉDITO]]</f>
        <v>1228.8</v>
      </c>
      <c r="E129" s="13">
        <v>45887</v>
      </c>
      <c r="F129" s="29" t="s">
        <v>16</v>
      </c>
      <c r="G12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9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29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29" s="23">
        <f>IFERROR(INDEX([1]!tb_Vendas[Crédito],MATCH(tb_Auditoria[[#This Row],[Nº CONTRATO]],[1]!tb_Vendas[Nº Contrato],0)),0)</f>
        <v>300000</v>
      </c>
      <c r="K129" s="22">
        <f>IFERROR(tb_Auditoria[[#This Row],[VALOR ESPERADO]] / tb_Auditoria[[#This Row],[VALOR CRÉDITO]], 0)</f>
        <v>0</v>
      </c>
      <c r="L129" s="23" t="e">
        <f>SUMIFS([1]!Motor_Comissão[Valor Previsto],[1]!Motor_Comissão[Chave], tb_Auditoria[[#This Row],[Nº CONTRATO]]&amp;"-"&amp;tb_Auditoria[[#This Row],[PARCELA ATUAL]])</f>
        <v>#REF!</v>
      </c>
      <c r="M129" s="23" t="e">
        <f>tb_Auditoria[[#This Row],[VALOR PAGO]] - tb_Auditoria[[#This Row],[VALOR ESPERADO]]</f>
        <v>#REF!</v>
      </c>
      <c r="N129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9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0" spans="1:15">
      <c r="A130" s="9">
        <v>1150437</v>
      </c>
      <c r="B130" s="10">
        <v>1</v>
      </c>
      <c r="C130" s="28">
        <v>4.0959999999999998E-3</v>
      </c>
      <c r="D130" s="12">
        <f>tb_Auditoria[[#This Row],[% TAXA RELATÓRIO]]*tb_Auditoria[[#This Row],[VALOR CRÉDITO]]</f>
        <v>1228.8</v>
      </c>
      <c r="E130" s="13">
        <v>45887</v>
      </c>
      <c r="F130" s="29" t="s">
        <v>16</v>
      </c>
      <c r="G13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3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30" s="19">
        <f>IFERROR(INDEX([1]!tb_Vendas[Crédito],MATCH(tb_Auditoria[[#This Row],[Nº CONTRATO]],[1]!tb_Vendas[Nº Contrato],0)),0)</f>
        <v>300000</v>
      </c>
      <c r="K130" s="21">
        <f>IFERROR(tb_Auditoria[[#This Row],[VALOR ESPERADO]] / tb_Auditoria[[#This Row],[VALOR CRÉDITO]], 0)</f>
        <v>0</v>
      </c>
      <c r="L130" s="19" t="e">
        <f>SUMIFS([1]!Motor_Comissão[Valor Previsto],[1]!Motor_Comissão[Chave], tb_Auditoria[[#This Row],[Nº CONTRATO]]&amp;"-"&amp;tb_Auditoria[[#This Row],[PARCELA ATUAL]])</f>
        <v>#REF!</v>
      </c>
      <c r="M130" s="19" t="e">
        <f>tb_Auditoria[[#This Row],[VALOR PAGO]] - tb_Auditoria[[#This Row],[VALOR ESPERADO]]</f>
        <v>#REF!</v>
      </c>
      <c r="N1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1" spans="1:15">
      <c r="A131" s="9">
        <v>1150441</v>
      </c>
      <c r="B131" s="10">
        <v>1</v>
      </c>
      <c r="C131" s="28">
        <v>4.0959999999999998E-3</v>
      </c>
      <c r="D131" s="12">
        <f>tb_Auditoria[[#This Row],[% TAXA RELATÓRIO]]*tb_Auditoria[[#This Row],[VALOR CRÉDITO]]</f>
        <v>1228.8</v>
      </c>
      <c r="E131" s="13">
        <v>45887</v>
      </c>
      <c r="F131" s="29" t="s">
        <v>16</v>
      </c>
      <c r="G13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3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31" s="19">
        <f>IFERROR(INDEX([1]!tb_Vendas[Crédito],MATCH(tb_Auditoria[[#This Row],[Nº CONTRATO]],[1]!tb_Vendas[Nº Contrato],0)),0)</f>
        <v>300000</v>
      </c>
      <c r="K131" s="21">
        <f>IFERROR(tb_Auditoria[[#This Row],[VALOR ESPERADO]] / tb_Auditoria[[#This Row],[VALOR CRÉDITO]], 0)</f>
        <v>0</v>
      </c>
      <c r="L131" s="19" t="e">
        <f>SUMIFS([1]!Motor_Comissão[Valor Previsto],[1]!Motor_Comissão[Chave], tb_Auditoria[[#This Row],[Nº CONTRATO]]&amp;"-"&amp;tb_Auditoria[[#This Row],[PARCELA ATUAL]])</f>
        <v>#REF!</v>
      </c>
      <c r="M131" s="19" t="e">
        <f>tb_Auditoria[[#This Row],[VALOR PAGO]] - tb_Auditoria[[#This Row],[VALOR ESPERADO]]</f>
        <v>#REF!</v>
      </c>
      <c r="N1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2" spans="1:15">
      <c r="A132" s="9">
        <v>1150437</v>
      </c>
      <c r="B132" s="10">
        <v>2</v>
      </c>
      <c r="C132" s="28">
        <v>4.0959999999999998E-3</v>
      </c>
      <c r="D132" s="12">
        <f>tb_Auditoria[[#This Row],[% TAXA RELATÓRIO]]*tb_Auditoria[[#This Row],[VALOR CRÉDITO]]</f>
        <v>1228.8</v>
      </c>
      <c r="E132" s="13">
        <v>45918</v>
      </c>
      <c r="F132" s="29" t="s">
        <v>16</v>
      </c>
      <c r="G13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2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32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32" s="23">
        <f>IFERROR(INDEX([1]!tb_Vendas[Crédito],MATCH(tb_Auditoria[[#This Row],[Nº CONTRATO]],[1]!tb_Vendas[Nº Contrato],0)),0)</f>
        <v>300000</v>
      </c>
      <c r="K132" s="22">
        <f>IFERROR(tb_Auditoria[[#This Row],[VALOR ESPERADO]] / tb_Auditoria[[#This Row],[VALOR CRÉDITO]], 0)</f>
        <v>0</v>
      </c>
      <c r="L132" s="23" t="e">
        <f>SUMIFS([1]!Motor_Comissão[Valor Previsto],[1]!Motor_Comissão[Chave], tb_Auditoria[[#This Row],[Nº CONTRATO]]&amp;"-"&amp;tb_Auditoria[[#This Row],[PARCELA ATUAL]])</f>
        <v>#REF!</v>
      </c>
      <c r="M132" s="23" t="e">
        <f>tb_Auditoria[[#This Row],[VALOR PAGO]] - tb_Auditoria[[#This Row],[VALOR ESPERADO]]</f>
        <v>#REF!</v>
      </c>
      <c r="N132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2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3" spans="1:15">
      <c r="A133" s="9">
        <v>1150439</v>
      </c>
      <c r="B133" s="10">
        <v>2</v>
      </c>
      <c r="C133" s="28">
        <v>4.0959999999999998E-3</v>
      </c>
      <c r="D133" s="12">
        <f>tb_Auditoria[[#This Row],[% TAXA RELATÓRIO]]*tb_Auditoria[[#This Row],[VALOR CRÉDITO]]</f>
        <v>1228.8</v>
      </c>
      <c r="E133" s="13">
        <v>45918</v>
      </c>
      <c r="F133" s="29" t="s">
        <v>16</v>
      </c>
      <c r="G13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3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33" s="19">
        <f>IFERROR(INDEX([1]!tb_Vendas[Crédito],MATCH(tb_Auditoria[[#This Row],[Nº CONTRATO]],[1]!tb_Vendas[Nº Contrato],0)),0)</f>
        <v>300000</v>
      </c>
      <c r="K133" s="21">
        <f>IFERROR(tb_Auditoria[[#This Row],[VALOR ESPERADO]] / tb_Auditoria[[#This Row],[VALOR CRÉDITO]], 0)</f>
        <v>0</v>
      </c>
      <c r="L133" s="19" t="e">
        <f>SUMIFS([1]!Motor_Comissão[Valor Previsto],[1]!Motor_Comissão[Chave], tb_Auditoria[[#This Row],[Nº CONTRATO]]&amp;"-"&amp;tb_Auditoria[[#This Row],[PARCELA ATUAL]])</f>
        <v>#REF!</v>
      </c>
      <c r="M133" s="19" t="e">
        <f>tb_Auditoria[[#This Row],[VALOR PAGO]] - tb_Auditoria[[#This Row],[VALOR ESPERADO]]</f>
        <v>#REF!</v>
      </c>
      <c r="N1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4" spans="1:15">
      <c r="A134" s="9">
        <v>1150440</v>
      </c>
      <c r="B134" s="10">
        <v>2</v>
      </c>
      <c r="C134" s="28">
        <v>4.0959999999999998E-3</v>
      </c>
      <c r="D134" s="12">
        <f>tb_Auditoria[[#This Row],[% TAXA RELATÓRIO]]*tb_Auditoria[[#This Row],[VALOR CRÉDITO]]</f>
        <v>1228.8</v>
      </c>
      <c r="E134" s="13">
        <v>45918</v>
      </c>
      <c r="F134" s="29" t="s">
        <v>16</v>
      </c>
      <c r="G13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3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34" s="19">
        <f>IFERROR(INDEX([1]!tb_Vendas[Crédito],MATCH(tb_Auditoria[[#This Row],[Nº CONTRATO]],[1]!tb_Vendas[Nº Contrato],0)),0)</f>
        <v>300000</v>
      </c>
      <c r="K134" s="21">
        <f>IFERROR(tb_Auditoria[[#This Row],[VALOR ESPERADO]] / tb_Auditoria[[#This Row],[VALOR CRÉDITO]], 0)</f>
        <v>0</v>
      </c>
      <c r="L134" s="19" t="e">
        <f>SUMIFS([1]!Motor_Comissão[Valor Previsto],[1]!Motor_Comissão[Chave], tb_Auditoria[[#This Row],[Nº CONTRATO]]&amp;"-"&amp;tb_Auditoria[[#This Row],[PARCELA ATUAL]])</f>
        <v>#REF!</v>
      </c>
      <c r="M134" s="19" t="e">
        <f>tb_Auditoria[[#This Row],[VALOR PAGO]] - tb_Auditoria[[#This Row],[VALOR ESPERADO]]</f>
        <v>#REF!</v>
      </c>
      <c r="N1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5" spans="1:15">
      <c r="A135" s="9">
        <v>1150441</v>
      </c>
      <c r="B135" s="10">
        <v>2</v>
      </c>
      <c r="C135" s="28">
        <v>4.0959999999999998E-3</v>
      </c>
      <c r="D135" s="12">
        <f>tb_Auditoria[[#This Row],[% TAXA RELATÓRIO]]*tb_Auditoria[[#This Row],[VALOR CRÉDITO]]</f>
        <v>1228.8</v>
      </c>
      <c r="E135" s="13">
        <v>45918</v>
      </c>
      <c r="F135" s="29" t="s">
        <v>16</v>
      </c>
      <c r="G13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5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35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35" s="23">
        <f>IFERROR(INDEX([1]!tb_Vendas[Crédito],MATCH(tb_Auditoria[[#This Row],[Nº CONTRATO]],[1]!tb_Vendas[Nº Contrato],0)),0)</f>
        <v>300000</v>
      </c>
      <c r="K135" s="22">
        <f>IFERROR(tb_Auditoria[[#This Row],[VALOR ESPERADO]] / tb_Auditoria[[#This Row],[VALOR CRÉDITO]], 0)</f>
        <v>0</v>
      </c>
      <c r="L135" s="23" t="e">
        <f>SUMIFS([1]!Motor_Comissão[Valor Previsto],[1]!Motor_Comissão[Chave], tb_Auditoria[[#This Row],[Nº CONTRATO]]&amp;"-"&amp;tb_Auditoria[[#This Row],[PARCELA ATUAL]])</f>
        <v>#REF!</v>
      </c>
      <c r="M135" s="23" t="e">
        <f>tb_Auditoria[[#This Row],[VALOR PAGO]] - tb_Auditoria[[#This Row],[VALOR ESPERADO]]</f>
        <v>#REF!</v>
      </c>
      <c r="N135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5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6" spans="1:15">
      <c r="A136" s="9">
        <v>1150442</v>
      </c>
      <c r="B136" s="10">
        <v>2</v>
      </c>
      <c r="C136" s="28">
        <v>4.0959999999999998E-3</v>
      </c>
      <c r="D136" s="12">
        <f>tb_Auditoria[[#This Row],[% TAXA RELATÓRIO]]*tb_Auditoria[[#This Row],[VALOR CRÉDITO]]</f>
        <v>1228.8</v>
      </c>
      <c r="E136" s="13">
        <v>45918</v>
      </c>
      <c r="F136" s="29" t="s">
        <v>16</v>
      </c>
      <c r="G13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3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36" s="19">
        <f>IFERROR(INDEX([1]!tb_Vendas[Crédito],MATCH(tb_Auditoria[[#This Row],[Nº CONTRATO]],[1]!tb_Vendas[Nº Contrato],0)),0)</f>
        <v>300000</v>
      </c>
      <c r="K136" s="21">
        <f>IFERROR(tb_Auditoria[[#This Row],[VALOR ESPERADO]] / tb_Auditoria[[#This Row],[VALOR CRÉDITO]], 0)</f>
        <v>0</v>
      </c>
      <c r="L136" s="19" t="e">
        <f>SUMIFS([1]!Motor_Comissão[Valor Previsto],[1]!Motor_Comissão[Chave], tb_Auditoria[[#This Row],[Nº CONTRATO]]&amp;"-"&amp;tb_Auditoria[[#This Row],[PARCELA ATUAL]])</f>
        <v>#REF!</v>
      </c>
      <c r="M136" s="19" t="e">
        <f>tb_Auditoria[[#This Row],[VALOR PAGO]] - tb_Auditoria[[#This Row],[VALOR ESPERADO]]</f>
        <v>#REF!</v>
      </c>
      <c r="N1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7" spans="1:15">
      <c r="A137" s="9">
        <v>1150443</v>
      </c>
      <c r="B137" s="10">
        <v>2</v>
      </c>
      <c r="C137" s="28">
        <v>4.0959999999999998E-3</v>
      </c>
      <c r="D137" s="12">
        <f>tb_Auditoria[[#This Row],[% TAXA RELATÓRIO]]*tb_Auditoria[[#This Row],[VALOR CRÉDITO]]</f>
        <v>1228.8</v>
      </c>
      <c r="E137" s="13">
        <v>45918</v>
      </c>
      <c r="F137" s="29" t="s">
        <v>16</v>
      </c>
      <c r="G13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3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37" s="19">
        <f>IFERROR(INDEX([1]!tb_Vendas[Crédito],MATCH(tb_Auditoria[[#This Row],[Nº CONTRATO]],[1]!tb_Vendas[Nº Contrato],0)),0)</f>
        <v>300000</v>
      </c>
      <c r="K137" s="21">
        <f>IFERROR(tb_Auditoria[[#This Row],[VALOR ESPERADO]] / tb_Auditoria[[#This Row],[VALOR CRÉDITO]], 0)</f>
        <v>0</v>
      </c>
      <c r="L137" s="19" t="e">
        <f>SUMIFS([1]!Motor_Comissão[Valor Previsto],[1]!Motor_Comissão[Chave], tb_Auditoria[[#This Row],[Nº CONTRATO]]&amp;"-"&amp;tb_Auditoria[[#This Row],[PARCELA ATUAL]])</f>
        <v>#REF!</v>
      </c>
      <c r="M137" s="19" t="e">
        <f>tb_Auditoria[[#This Row],[VALOR PAGO]] - tb_Auditoria[[#This Row],[VALOR ESPERADO]]</f>
        <v>#REF!</v>
      </c>
      <c r="N1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8" spans="1:15">
      <c r="A138" s="9">
        <v>1150445</v>
      </c>
      <c r="B138" s="10">
        <v>2</v>
      </c>
      <c r="C138" s="28">
        <v>4.0959999999999998E-3</v>
      </c>
      <c r="D138" s="12">
        <f>tb_Auditoria[[#This Row],[% TAXA RELATÓRIO]]*tb_Auditoria[[#This Row],[VALOR CRÉDITO]]</f>
        <v>1228.8</v>
      </c>
      <c r="E138" s="13">
        <v>45918</v>
      </c>
      <c r="F138" s="29" t="s">
        <v>16</v>
      </c>
      <c r="G13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8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38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38" s="23">
        <f>IFERROR(INDEX([1]!tb_Vendas[Crédito],MATCH(tb_Auditoria[[#This Row],[Nº CONTRATO]],[1]!tb_Vendas[Nº Contrato],0)),0)</f>
        <v>300000</v>
      </c>
      <c r="K138" s="22">
        <f>IFERROR(tb_Auditoria[[#This Row],[VALOR ESPERADO]] / tb_Auditoria[[#This Row],[VALOR CRÉDITO]], 0)</f>
        <v>0</v>
      </c>
      <c r="L138" s="23" t="e">
        <f>SUMIFS([1]!Motor_Comissão[Valor Previsto],[1]!Motor_Comissão[Chave], tb_Auditoria[[#This Row],[Nº CONTRATO]]&amp;"-"&amp;tb_Auditoria[[#This Row],[PARCELA ATUAL]])</f>
        <v>#REF!</v>
      </c>
      <c r="M138" s="23" t="e">
        <f>tb_Auditoria[[#This Row],[VALOR PAGO]] - tb_Auditoria[[#This Row],[VALOR ESPERADO]]</f>
        <v>#REF!</v>
      </c>
      <c r="N138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8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39" spans="1:15">
      <c r="A139" s="9">
        <v>1150446</v>
      </c>
      <c r="B139" s="10">
        <v>2</v>
      </c>
      <c r="C139" s="28">
        <v>4.0959999999999998E-3</v>
      </c>
      <c r="D139" s="12">
        <f>tb_Auditoria[[#This Row],[% TAXA RELATÓRIO]]*tb_Auditoria[[#This Row],[VALOR CRÉDITO]]</f>
        <v>1228.8</v>
      </c>
      <c r="E139" s="13">
        <v>45918</v>
      </c>
      <c r="F139" s="29" t="s">
        <v>16</v>
      </c>
      <c r="G13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3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3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39" s="19">
        <f>IFERROR(INDEX([1]!tb_Vendas[Crédito],MATCH(tb_Auditoria[[#This Row],[Nº CONTRATO]],[1]!tb_Vendas[Nº Contrato],0)),0)</f>
        <v>300000</v>
      </c>
      <c r="K139" s="21">
        <f>IFERROR(tb_Auditoria[[#This Row],[VALOR ESPERADO]] / tb_Auditoria[[#This Row],[VALOR CRÉDITO]], 0)</f>
        <v>0</v>
      </c>
      <c r="L139" s="19" t="e">
        <f>SUMIFS([1]!Motor_Comissão[Valor Previsto],[1]!Motor_Comissão[Chave], tb_Auditoria[[#This Row],[Nº CONTRATO]]&amp;"-"&amp;tb_Auditoria[[#This Row],[PARCELA ATUAL]])</f>
        <v>#REF!</v>
      </c>
      <c r="M139" s="19" t="e">
        <f>tb_Auditoria[[#This Row],[VALOR PAGO]] - tb_Auditoria[[#This Row],[VALOR ESPERADO]]</f>
        <v>#REF!</v>
      </c>
      <c r="N1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0" spans="1:15">
      <c r="A140" s="9">
        <v>1150447</v>
      </c>
      <c r="B140" s="10">
        <v>2</v>
      </c>
      <c r="C140" s="28">
        <v>4.0959999999999998E-3</v>
      </c>
      <c r="D140" s="12">
        <f>tb_Auditoria[[#This Row],[% TAXA RELATÓRIO]]*tb_Auditoria[[#This Row],[VALOR CRÉDITO]]</f>
        <v>1228.8</v>
      </c>
      <c r="E140" s="13">
        <v>45918</v>
      </c>
      <c r="F140" s="29" t="s">
        <v>16</v>
      </c>
      <c r="G14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4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40" s="19">
        <f>IFERROR(INDEX([1]!tb_Vendas[Crédito],MATCH(tb_Auditoria[[#This Row],[Nº CONTRATO]],[1]!tb_Vendas[Nº Contrato],0)),0)</f>
        <v>300000</v>
      </c>
      <c r="K140" s="21">
        <f>IFERROR(tb_Auditoria[[#This Row],[VALOR ESPERADO]] / tb_Auditoria[[#This Row],[VALOR CRÉDITO]], 0)</f>
        <v>0</v>
      </c>
      <c r="L140" s="19" t="e">
        <f>SUMIFS([1]!Motor_Comissão[Valor Previsto],[1]!Motor_Comissão[Chave], tb_Auditoria[[#This Row],[Nº CONTRATO]]&amp;"-"&amp;tb_Auditoria[[#This Row],[PARCELA ATUAL]])</f>
        <v>#REF!</v>
      </c>
      <c r="M140" s="19" t="e">
        <f>tb_Auditoria[[#This Row],[VALOR PAGO]] - tb_Auditoria[[#This Row],[VALOR ESPERADO]]</f>
        <v>#REF!</v>
      </c>
      <c r="N1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1" spans="1:15">
      <c r="A141" s="9">
        <v>1150448</v>
      </c>
      <c r="B141" s="10">
        <v>2</v>
      </c>
      <c r="C141" s="28">
        <v>4.0959999999999998E-3</v>
      </c>
      <c r="D141" s="12">
        <f>tb_Auditoria[[#This Row],[% TAXA RELATÓRIO]]*tb_Auditoria[[#This Row],[VALOR CRÉDITO]]</f>
        <v>1228.8</v>
      </c>
      <c r="E141" s="13">
        <v>45918</v>
      </c>
      <c r="F141" s="29" t="s">
        <v>16</v>
      </c>
      <c r="G14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4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41" s="19">
        <f>IFERROR(INDEX([1]!tb_Vendas[Crédito],MATCH(tb_Auditoria[[#This Row],[Nº CONTRATO]],[1]!tb_Vendas[Nº Contrato],0)),0)</f>
        <v>300000</v>
      </c>
      <c r="K141" s="21">
        <f>IFERROR(tb_Auditoria[[#This Row],[VALOR ESPERADO]] / tb_Auditoria[[#This Row],[VALOR CRÉDITO]], 0)</f>
        <v>0</v>
      </c>
      <c r="L141" s="19" t="e">
        <f>SUMIFS([1]!Motor_Comissão[Valor Previsto],[1]!Motor_Comissão[Chave], tb_Auditoria[[#This Row],[Nº CONTRATO]]&amp;"-"&amp;tb_Auditoria[[#This Row],[PARCELA ATUAL]])</f>
        <v>#REF!</v>
      </c>
      <c r="M141" s="19" t="e">
        <f>tb_Auditoria[[#This Row],[VALOR PAGO]] - tb_Auditoria[[#This Row],[VALOR ESPERADO]]</f>
        <v>#REF!</v>
      </c>
      <c r="N1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2" spans="1:15">
      <c r="A142" s="9">
        <v>1150449</v>
      </c>
      <c r="B142" s="10">
        <v>2</v>
      </c>
      <c r="C142" s="28">
        <v>4.0959999999999998E-3</v>
      </c>
      <c r="D142" s="12">
        <f>tb_Auditoria[[#This Row],[% TAXA RELATÓRIO]]*tb_Auditoria[[#This Row],[VALOR CRÉDITO]]</f>
        <v>1228.8</v>
      </c>
      <c r="E142" s="13">
        <v>45918</v>
      </c>
      <c r="F142" s="29" t="s">
        <v>16</v>
      </c>
      <c r="G14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4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42" s="19">
        <f>IFERROR(INDEX([1]!tb_Vendas[Crédito],MATCH(tb_Auditoria[[#This Row],[Nº CONTRATO]],[1]!tb_Vendas[Nº Contrato],0)),0)</f>
        <v>300000</v>
      </c>
      <c r="K142" s="21">
        <f>IFERROR(tb_Auditoria[[#This Row],[VALOR ESPERADO]] / tb_Auditoria[[#This Row],[VALOR CRÉDITO]], 0)</f>
        <v>0</v>
      </c>
      <c r="L142" s="19" t="e">
        <f>SUMIFS([1]!Motor_Comissão[Valor Previsto],[1]!Motor_Comissão[Chave], tb_Auditoria[[#This Row],[Nº CONTRATO]]&amp;"-"&amp;tb_Auditoria[[#This Row],[PARCELA ATUAL]])</f>
        <v>#REF!</v>
      </c>
      <c r="M142" s="19" t="e">
        <f>tb_Auditoria[[#This Row],[VALOR PAGO]] - tb_Auditoria[[#This Row],[VALOR ESPERADO]]</f>
        <v>#REF!</v>
      </c>
      <c r="N1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3" spans="1:15">
      <c r="A143" s="9">
        <v>1150451</v>
      </c>
      <c r="B143" s="10">
        <v>2</v>
      </c>
      <c r="C143" s="28">
        <v>4.0959999999999998E-3</v>
      </c>
      <c r="D143" s="12">
        <f>tb_Auditoria[[#This Row],[% TAXA RELATÓRIO]]*tb_Auditoria[[#This Row],[VALOR CRÉDITO]]</f>
        <v>1228.8</v>
      </c>
      <c r="E143" s="13">
        <v>45918</v>
      </c>
      <c r="F143" s="29" t="s">
        <v>16</v>
      </c>
      <c r="G14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4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43" s="19">
        <f>IFERROR(INDEX([1]!tb_Vendas[Crédito],MATCH(tb_Auditoria[[#This Row],[Nº CONTRATO]],[1]!tb_Vendas[Nº Contrato],0)),0)</f>
        <v>300000</v>
      </c>
      <c r="K143" s="21">
        <f>IFERROR(tb_Auditoria[[#This Row],[VALOR ESPERADO]] / tb_Auditoria[[#This Row],[VALOR CRÉDITO]], 0)</f>
        <v>0</v>
      </c>
      <c r="L143" s="19" t="e">
        <f>SUMIFS([1]!Motor_Comissão[Valor Previsto],[1]!Motor_Comissão[Chave], tb_Auditoria[[#This Row],[Nº CONTRATO]]&amp;"-"&amp;tb_Auditoria[[#This Row],[PARCELA ATUAL]])</f>
        <v>#REF!</v>
      </c>
      <c r="M143" s="19" t="e">
        <f>tb_Auditoria[[#This Row],[VALOR PAGO]] - tb_Auditoria[[#This Row],[VALOR ESPERADO]]</f>
        <v>#REF!</v>
      </c>
      <c r="N1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4" spans="1:15">
      <c r="A144" s="9">
        <v>1150437</v>
      </c>
      <c r="B144" s="10">
        <v>3</v>
      </c>
      <c r="C144" s="28">
        <v>4.0959999999999998E-3</v>
      </c>
      <c r="D144" s="12">
        <f>tb_Auditoria[[#This Row],[% TAXA RELATÓRIO]]*tb_Auditoria[[#This Row],[VALOR CRÉDITO]]</f>
        <v>1228.8</v>
      </c>
      <c r="E144" s="13">
        <v>45946</v>
      </c>
      <c r="F144" s="29" t="s">
        <v>16</v>
      </c>
      <c r="G14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4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44" s="19">
        <f>IFERROR(INDEX([1]!tb_Vendas[Crédito],MATCH(tb_Auditoria[[#This Row],[Nº CONTRATO]],[1]!tb_Vendas[Nº Contrato],0)),0)</f>
        <v>300000</v>
      </c>
      <c r="K144" s="21">
        <f>IFERROR(tb_Auditoria[[#This Row],[VALOR ESPERADO]] / tb_Auditoria[[#This Row],[VALOR CRÉDITO]], 0)</f>
        <v>0</v>
      </c>
      <c r="L144" s="19" t="e">
        <f>SUMIFS([1]!Motor_Comissão[Valor Previsto],[1]!Motor_Comissão[Chave], tb_Auditoria[[#This Row],[Nº CONTRATO]]&amp;"-"&amp;tb_Auditoria[[#This Row],[PARCELA ATUAL]])</f>
        <v>#REF!</v>
      </c>
      <c r="M144" s="19" t="e">
        <f>tb_Auditoria[[#This Row],[VALOR PAGO]] - tb_Auditoria[[#This Row],[VALOR ESPERADO]]</f>
        <v>#REF!</v>
      </c>
      <c r="N1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5" spans="1:15">
      <c r="A145" s="9">
        <v>1150439</v>
      </c>
      <c r="B145" s="10">
        <v>3</v>
      </c>
      <c r="C145" s="28">
        <v>4.0959999999999998E-3</v>
      </c>
      <c r="D145" s="12">
        <f>tb_Auditoria[[#This Row],[% TAXA RELATÓRIO]]*tb_Auditoria[[#This Row],[VALOR CRÉDITO]]</f>
        <v>1228.8</v>
      </c>
      <c r="E145" s="13">
        <v>45946</v>
      </c>
      <c r="F145" s="29" t="s">
        <v>16</v>
      </c>
      <c r="G14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4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45" s="19">
        <f>IFERROR(INDEX([1]!tb_Vendas[Crédito],MATCH(tb_Auditoria[[#This Row],[Nº CONTRATO]],[1]!tb_Vendas[Nº Contrato],0)),0)</f>
        <v>300000</v>
      </c>
      <c r="K145" s="21">
        <f>IFERROR(tb_Auditoria[[#This Row],[VALOR ESPERADO]] / tb_Auditoria[[#This Row],[VALOR CRÉDITO]], 0)</f>
        <v>0</v>
      </c>
      <c r="L145" s="19" t="e">
        <f>SUMIFS([1]!Motor_Comissão[Valor Previsto],[1]!Motor_Comissão[Chave], tb_Auditoria[[#This Row],[Nº CONTRATO]]&amp;"-"&amp;tb_Auditoria[[#This Row],[PARCELA ATUAL]])</f>
        <v>#REF!</v>
      </c>
      <c r="M145" s="19" t="e">
        <f>tb_Auditoria[[#This Row],[VALOR PAGO]] - tb_Auditoria[[#This Row],[VALOR ESPERADO]]</f>
        <v>#REF!</v>
      </c>
      <c r="N1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6" spans="1:15">
      <c r="A146" s="9">
        <v>1150440</v>
      </c>
      <c r="B146" s="10">
        <v>3</v>
      </c>
      <c r="C146" s="28">
        <v>4.0959999999999998E-3</v>
      </c>
      <c r="D146" s="12">
        <f>tb_Auditoria[[#This Row],[% TAXA RELATÓRIO]]*tb_Auditoria[[#This Row],[VALOR CRÉDITO]]</f>
        <v>1228.8</v>
      </c>
      <c r="E146" s="13">
        <v>45946</v>
      </c>
      <c r="F146" s="29" t="s">
        <v>16</v>
      </c>
      <c r="G14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4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46" s="19">
        <f>IFERROR(INDEX([1]!tb_Vendas[Crédito],MATCH(tb_Auditoria[[#This Row],[Nº CONTRATO]],[1]!tb_Vendas[Nº Contrato],0)),0)</f>
        <v>300000</v>
      </c>
      <c r="K146" s="21">
        <f>IFERROR(tb_Auditoria[[#This Row],[VALOR ESPERADO]] / tb_Auditoria[[#This Row],[VALOR CRÉDITO]], 0)</f>
        <v>0</v>
      </c>
      <c r="L146" s="19" t="e">
        <f>SUMIFS([1]!Motor_Comissão[Valor Previsto],[1]!Motor_Comissão[Chave], tb_Auditoria[[#This Row],[Nº CONTRATO]]&amp;"-"&amp;tb_Auditoria[[#This Row],[PARCELA ATUAL]])</f>
        <v>#REF!</v>
      </c>
      <c r="M146" s="19" t="e">
        <f>tb_Auditoria[[#This Row],[VALOR PAGO]] - tb_Auditoria[[#This Row],[VALOR ESPERADO]]</f>
        <v>#REF!</v>
      </c>
      <c r="N1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7" spans="1:15">
      <c r="A147" s="9">
        <v>1150441</v>
      </c>
      <c r="B147" s="10">
        <v>3</v>
      </c>
      <c r="C147" s="28">
        <v>4.0959999999999998E-3</v>
      </c>
      <c r="D147" s="12">
        <f>tb_Auditoria[[#This Row],[% TAXA RELATÓRIO]]*tb_Auditoria[[#This Row],[VALOR CRÉDITO]]</f>
        <v>1228.8</v>
      </c>
      <c r="E147" s="13">
        <v>45946</v>
      </c>
      <c r="F147" s="29" t="s">
        <v>16</v>
      </c>
      <c r="G14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4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47" s="19">
        <f>IFERROR(INDEX([1]!tb_Vendas[Crédito],MATCH(tb_Auditoria[[#This Row],[Nº CONTRATO]],[1]!tb_Vendas[Nº Contrato],0)),0)</f>
        <v>300000</v>
      </c>
      <c r="K147" s="21">
        <f>IFERROR(tb_Auditoria[[#This Row],[VALOR ESPERADO]] / tb_Auditoria[[#This Row],[VALOR CRÉDITO]], 0)</f>
        <v>0</v>
      </c>
      <c r="L147" s="19" t="e">
        <f>SUMIFS([1]!Motor_Comissão[Valor Previsto],[1]!Motor_Comissão[Chave], tb_Auditoria[[#This Row],[Nº CONTRATO]]&amp;"-"&amp;tb_Auditoria[[#This Row],[PARCELA ATUAL]])</f>
        <v>#REF!</v>
      </c>
      <c r="M147" s="19" t="e">
        <f>tb_Auditoria[[#This Row],[VALOR PAGO]] - tb_Auditoria[[#This Row],[VALOR ESPERADO]]</f>
        <v>#REF!</v>
      </c>
      <c r="N1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8" spans="1:15">
      <c r="A148" s="9">
        <v>1150442</v>
      </c>
      <c r="B148" s="10">
        <v>3</v>
      </c>
      <c r="C148" s="28">
        <v>4.0959999999999998E-3</v>
      </c>
      <c r="D148" s="12">
        <f>tb_Auditoria[[#This Row],[% TAXA RELATÓRIO]]*tb_Auditoria[[#This Row],[VALOR CRÉDITO]]</f>
        <v>1228.8</v>
      </c>
      <c r="E148" s="13">
        <v>45946</v>
      </c>
      <c r="F148" s="29" t="s">
        <v>16</v>
      </c>
      <c r="G14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4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48" s="19">
        <f>IFERROR(INDEX([1]!tb_Vendas[Crédito],MATCH(tb_Auditoria[[#This Row],[Nº CONTRATO]],[1]!tb_Vendas[Nº Contrato],0)),0)</f>
        <v>300000</v>
      </c>
      <c r="K148" s="21">
        <f>IFERROR(tb_Auditoria[[#This Row],[VALOR ESPERADO]] / tb_Auditoria[[#This Row],[VALOR CRÉDITO]], 0)</f>
        <v>0</v>
      </c>
      <c r="L148" s="19" t="e">
        <f>SUMIFS([1]!Motor_Comissão[Valor Previsto],[1]!Motor_Comissão[Chave], tb_Auditoria[[#This Row],[Nº CONTRATO]]&amp;"-"&amp;tb_Auditoria[[#This Row],[PARCELA ATUAL]])</f>
        <v>#REF!</v>
      </c>
      <c r="M148" s="19" t="e">
        <f>tb_Auditoria[[#This Row],[VALOR PAGO]] - tb_Auditoria[[#This Row],[VALOR ESPERADO]]</f>
        <v>#REF!</v>
      </c>
      <c r="N1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49" spans="1:15">
      <c r="A149" s="9">
        <v>1150443</v>
      </c>
      <c r="B149" s="10">
        <v>3</v>
      </c>
      <c r="C149" s="28">
        <v>4.0959999999999998E-3</v>
      </c>
      <c r="D149" s="12">
        <f>tb_Auditoria[[#This Row],[% TAXA RELATÓRIO]]*tb_Auditoria[[#This Row],[VALOR CRÉDITO]]</f>
        <v>1228.8</v>
      </c>
      <c r="E149" s="13">
        <v>45946</v>
      </c>
      <c r="F149" s="29" t="s">
        <v>16</v>
      </c>
      <c r="G14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4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4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49" s="19">
        <f>IFERROR(INDEX([1]!tb_Vendas[Crédito],MATCH(tb_Auditoria[[#This Row],[Nº CONTRATO]],[1]!tb_Vendas[Nº Contrato],0)),0)</f>
        <v>300000</v>
      </c>
      <c r="K149" s="21">
        <f>IFERROR(tb_Auditoria[[#This Row],[VALOR ESPERADO]] / tb_Auditoria[[#This Row],[VALOR CRÉDITO]], 0)</f>
        <v>0</v>
      </c>
      <c r="L149" s="19" t="e">
        <f>SUMIFS([1]!Motor_Comissão[Valor Previsto],[1]!Motor_Comissão[Chave], tb_Auditoria[[#This Row],[Nº CONTRATO]]&amp;"-"&amp;tb_Auditoria[[#This Row],[PARCELA ATUAL]])</f>
        <v>#REF!</v>
      </c>
      <c r="M149" s="19" t="e">
        <f>tb_Auditoria[[#This Row],[VALOR PAGO]] - tb_Auditoria[[#This Row],[VALOR ESPERADO]]</f>
        <v>#REF!</v>
      </c>
      <c r="N1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0" spans="1:15">
      <c r="A150" s="9">
        <v>1150445</v>
      </c>
      <c r="B150" s="10">
        <v>3</v>
      </c>
      <c r="C150" s="28">
        <v>4.0959999999999998E-3</v>
      </c>
      <c r="D150" s="12">
        <f>tb_Auditoria[[#This Row],[% TAXA RELATÓRIO]]*tb_Auditoria[[#This Row],[VALOR CRÉDITO]]</f>
        <v>1228.8</v>
      </c>
      <c r="E150" s="13">
        <v>45946</v>
      </c>
      <c r="F150" s="29" t="s">
        <v>16</v>
      </c>
      <c r="G15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5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50" s="19">
        <f>IFERROR(INDEX([1]!tb_Vendas[Crédito],MATCH(tb_Auditoria[[#This Row],[Nº CONTRATO]],[1]!tb_Vendas[Nº Contrato],0)),0)</f>
        <v>300000</v>
      </c>
      <c r="K150" s="21">
        <f>IFERROR(tb_Auditoria[[#This Row],[VALOR ESPERADO]] / tb_Auditoria[[#This Row],[VALOR CRÉDITO]], 0)</f>
        <v>0</v>
      </c>
      <c r="L150" s="19" t="e">
        <f>SUMIFS([1]!Motor_Comissão[Valor Previsto],[1]!Motor_Comissão[Chave], tb_Auditoria[[#This Row],[Nº CONTRATO]]&amp;"-"&amp;tb_Auditoria[[#This Row],[PARCELA ATUAL]])</f>
        <v>#REF!</v>
      </c>
      <c r="M150" s="19" t="e">
        <f>tb_Auditoria[[#This Row],[VALOR PAGO]] - tb_Auditoria[[#This Row],[VALOR ESPERADO]]</f>
        <v>#REF!</v>
      </c>
      <c r="N1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1" spans="1:15">
      <c r="A151" s="9">
        <v>1150446</v>
      </c>
      <c r="B151" s="10">
        <v>3</v>
      </c>
      <c r="C151" s="28">
        <v>4.0959999999999998E-3</v>
      </c>
      <c r="D151" s="12">
        <f>tb_Auditoria[[#This Row],[% TAXA RELATÓRIO]]*tb_Auditoria[[#This Row],[VALOR CRÉDITO]]</f>
        <v>1228.8</v>
      </c>
      <c r="E151" s="13">
        <v>45946</v>
      </c>
      <c r="F151" s="29" t="s">
        <v>16</v>
      </c>
      <c r="G15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5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51" s="19">
        <f>IFERROR(INDEX([1]!tb_Vendas[Crédito],MATCH(tb_Auditoria[[#This Row],[Nº CONTRATO]],[1]!tb_Vendas[Nº Contrato],0)),0)</f>
        <v>300000</v>
      </c>
      <c r="K151" s="21">
        <f>IFERROR(tb_Auditoria[[#This Row],[VALOR ESPERADO]] / tb_Auditoria[[#This Row],[VALOR CRÉDITO]], 0)</f>
        <v>0</v>
      </c>
      <c r="L151" s="19" t="e">
        <f>SUMIFS([1]!Motor_Comissão[Valor Previsto],[1]!Motor_Comissão[Chave], tb_Auditoria[[#This Row],[Nº CONTRATO]]&amp;"-"&amp;tb_Auditoria[[#This Row],[PARCELA ATUAL]])</f>
        <v>#REF!</v>
      </c>
      <c r="M151" s="19" t="e">
        <f>tb_Auditoria[[#This Row],[VALOR PAGO]] - tb_Auditoria[[#This Row],[VALOR ESPERADO]]</f>
        <v>#REF!</v>
      </c>
      <c r="N1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2" spans="1:15">
      <c r="A152" s="9">
        <v>1150447</v>
      </c>
      <c r="B152" s="10">
        <v>3</v>
      </c>
      <c r="C152" s="28">
        <v>4.0959999999999998E-3</v>
      </c>
      <c r="D152" s="12">
        <f>tb_Auditoria[[#This Row],[% TAXA RELATÓRIO]]*tb_Auditoria[[#This Row],[VALOR CRÉDITO]]</f>
        <v>1228.8</v>
      </c>
      <c r="E152" s="13">
        <v>45946</v>
      </c>
      <c r="F152" s="29" t="s">
        <v>16</v>
      </c>
      <c r="G15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5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52" s="19">
        <f>IFERROR(INDEX([1]!tb_Vendas[Crédito],MATCH(tb_Auditoria[[#This Row],[Nº CONTRATO]],[1]!tb_Vendas[Nº Contrato],0)),0)</f>
        <v>300000</v>
      </c>
      <c r="K152" s="21">
        <f>IFERROR(tb_Auditoria[[#This Row],[VALOR ESPERADO]] / tb_Auditoria[[#This Row],[VALOR CRÉDITO]], 0)</f>
        <v>0</v>
      </c>
      <c r="L152" s="19" t="e">
        <f>SUMIFS([1]!Motor_Comissão[Valor Previsto],[1]!Motor_Comissão[Chave], tb_Auditoria[[#This Row],[Nº CONTRATO]]&amp;"-"&amp;tb_Auditoria[[#This Row],[PARCELA ATUAL]])</f>
        <v>#REF!</v>
      </c>
      <c r="M152" s="19" t="e">
        <f>tb_Auditoria[[#This Row],[VALOR PAGO]] - tb_Auditoria[[#This Row],[VALOR ESPERADO]]</f>
        <v>#REF!</v>
      </c>
      <c r="N1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3" spans="1:15">
      <c r="A153" s="9">
        <v>1150448</v>
      </c>
      <c r="B153" s="10">
        <v>3</v>
      </c>
      <c r="C153" s="28">
        <v>4.0959999999999998E-3</v>
      </c>
      <c r="D153" s="12">
        <f>tb_Auditoria[[#This Row],[% TAXA RELATÓRIO]]*tb_Auditoria[[#This Row],[VALOR CRÉDITO]]</f>
        <v>1228.8</v>
      </c>
      <c r="E153" s="13">
        <v>45946</v>
      </c>
      <c r="F153" s="29" t="s">
        <v>16</v>
      </c>
      <c r="G15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5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53" s="19">
        <f>IFERROR(INDEX([1]!tb_Vendas[Crédito],MATCH(tb_Auditoria[[#This Row],[Nº CONTRATO]],[1]!tb_Vendas[Nº Contrato],0)),0)</f>
        <v>300000</v>
      </c>
      <c r="K153" s="21">
        <f>IFERROR(tb_Auditoria[[#This Row],[VALOR ESPERADO]] / tb_Auditoria[[#This Row],[VALOR CRÉDITO]], 0)</f>
        <v>0</v>
      </c>
      <c r="L153" s="19" t="e">
        <f>SUMIFS([1]!Motor_Comissão[Valor Previsto],[1]!Motor_Comissão[Chave], tb_Auditoria[[#This Row],[Nº CONTRATO]]&amp;"-"&amp;tb_Auditoria[[#This Row],[PARCELA ATUAL]])</f>
        <v>#REF!</v>
      </c>
      <c r="M153" s="19" t="e">
        <f>tb_Auditoria[[#This Row],[VALOR PAGO]] - tb_Auditoria[[#This Row],[VALOR ESPERADO]]</f>
        <v>#REF!</v>
      </c>
      <c r="N1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4" spans="1:15">
      <c r="A154" s="9">
        <v>1150449</v>
      </c>
      <c r="B154" s="10">
        <v>3</v>
      </c>
      <c r="C154" s="28">
        <v>4.0959999999999998E-3</v>
      </c>
      <c r="D154" s="12">
        <f>tb_Auditoria[[#This Row],[% TAXA RELATÓRIO]]*tb_Auditoria[[#This Row],[VALOR CRÉDITO]]</f>
        <v>1228.8</v>
      </c>
      <c r="E154" s="13">
        <v>45946</v>
      </c>
      <c r="F154" s="29" t="s">
        <v>16</v>
      </c>
      <c r="G15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5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54" s="19">
        <f>IFERROR(INDEX([1]!tb_Vendas[Crédito],MATCH(tb_Auditoria[[#This Row],[Nº CONTRATO]],[1]!tb_Vendas[Nº Contrato],0)),0)</f>
        <v>300000</v>
      </c>
      <c r="K154" s="21">
        <f>IFERROR(tb_Auditoria[[#This Row],[VALOR ESPERADO]] / tb_Auditoria[[#This Row],[VALOR CRÉDITO]], 0)</f>
        <v>0</v>
      </c>
      <c r="L154" s="19" t="e">
        <f>SUMIFS([1]!Motor_Comissão[Valor Previsto],[1]!Motor_Comissão[Chave], tb_Auditoria[[#This Row],[Nº CONTRATO]]&amp;"-"&amp;tb_Auditoria[[#This Row],[PARCELA ATUAL]])</f>
        <v>#REF!</v>
      </c>
      <c r="M154" s="19" t="e">
        <f>tb_Auditoria[[#This Row],[VALOR PAGO]] - tb_Auditoria[[#This Row],[VALOR ESPERADO]]</f>
        <v>#REF!</v>
      </c>
      <c r="N1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5" spans="1:15">
      <c r="A155" s="9">
        <v>1150451</v>
      </c>
      <c r="B155" s="10">
        <v>3</v>
      </c>
      <c r="C155" s="28">
        <v>4.0959999999999998E-3</v>
      </c>
      <c r="D155" s="12">
        <f>tb_Auditoria[[#This Row],[% TAXA RELATÓRIO]]*tb_Auditoria[[#This Row],[VALOR CRÉDITO]]</f>
        <v>1228.8</v>
      </c>
      <c r="E155" s="13">
        <v>45946</v>
      </c>
      <c r="F155" s="29" t="s">
        <v>16</v>
      </c>
      <c r="G15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5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55" s="19">
        <f>IFERROR(INDEX([1]!tb_Vendas[Crédito],MATCH(tb_Auditoria[[#This Row],[Nº CONTRATO]],[1]!tb_Vendas[Nº Contrato],0)),0)</f>
        <v>300000</v>
      </c>
      <c r="K155" s="21">
        <f>IFERROR(tb_Auditoria[[#This Row],[VALOR ESPERADO]] / tb_Auditoria[[#This Row],[VALOR CRÉDITO]], 0)</f>
        <v>0</v>
      </c>
      <c r="L155" s="19" t="e">
        <f>SUMIFS([1]!Motor_Comissão[Valor Previsto],[1]!Motor_Comissão[Chave], tb_Auditoria[[#This Row],[Nº CONTRATO]]&amp;"-"&amp;tb_Auditoria[[#This Row],[PARCELA ATUAL]])</f>
        <v>#REF!</v>
      </c>
      <c r="M155" s="19" t="e">
        <f>tb_Auditoria[[#This Row],[VALOR PAGO]] - tb_Auditoria[[#This Row],[VALOR ESPERADO]]</f>
        <v>#REF!</v>
      </c>
      <c r="N1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6" spans="1:15">
      <c r="A156" s="9">
        <v>1150437</v>
      </c>
      <c r="B156" s="10">
        <v>4</v>
      </c>
      <c r="C156" s="28">
        <v>4.0959999999999998E-3</v>
      </c>
      <c r="D156" s="12">
        <f>tb_Auditoria[[#This Row],[% TAXA RELATÓRIO]]*tb_Auditoria[[#This Row],[VALOR CRÉDITO]]</f>
        <v>1228.8</v>
      </c>
      <c r="E156" s="13">
        <v>45980</v>
      </c>
      <c r="F156" s="29" t="s">
        <v>16</v>
      </c>
      <c r="G15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5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56" s="19">
        <f>IFERROR(INDEX([1]!tb_Vendas[Crédito],MATCH(tb_Auditoria[[#This Row],[Nº CONTRATO]],[1]!tb_Vendas[Nº Contrato],0)),0)</f>
        <v>300000</v>
      </c>
      <c r="K156" s="21">
        <f>IFERROR(tb_Auditoria[[#This Row],[VALOR ESPERADO]] / tb_Auditoria[[#This Row],[VALOR CRÉDITO]], 0)</f>
        <v>0</v>
      </c>
      <c r="L156" s="19" t="e">
        <f>SUMIFS([1]!Motor_Comissão[Valor Previsto],[1]!Motor_Comissão[Chave], tb_Auditoria[[#This Row],[Nº CONTRATO]]&amp;"-"&amp;tb_Auditoria[[#This Row],[PARCELA ATUAL]])</f>
        <v>#REF!</v>
      </c>
      <c r="M156" s="19" t="e">
        <f>tb_Auditoria[[#This Row],[VALOR PAGO]] - tb_Auditoria[[#This Row],[VALOR ESPERADO]]</f>
        <v>#REF!</v>
      </c>
      <c r="N1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7" spans="1:15">
      <c r="A157" s="9">
        <v>1150439</v>
      </c>
      <c r="B157" s="10">
        <v>4</v>
      </c>
      <c r="C157" s="28">
        <v>4.0959999999999998E-3</v>
      </c>
      <c r="D157" s="12">
        <f>tb_Auditoria[[#This Row],[% TAXA RELATÓRIO]]*tb_Auditoria[[#This Row],[VALOR CRÉDITO]]</f>
        <v>1228.8</v>
      </c>
      <c r="E157" s="13">
        <v>45980</v>
      </c>
      <c r="F157" s="29" t="s">
        <v>16</v>
      </c>
      <c r="G15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5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57" s="19">
        <f>IFERROR(INDEX([1]!tb_Vendas[Crédito],MATCH(tb_Auditoria[[#This Row],[Nº CONTRATO]],[1]!tb_Vendas[Nº Contrato],0)),0)</f>
        <v>300000</v>
      </c>
      <c r="K157" s="21">
        <f>IFERROR(tb_Auditoria[[#This Row],[VALOR ESPERADO]] / tb_Auditoria[[#This Row],[VALOR CRÉDITO]], 0)</f>
        <v>0</v>
      </c>
      <c r="L157" s="19" t="e">
        <f>SUMIFS([1]!Motor_Comissão[Valor Previsto],[1]!Motor_Comissão[Chave], tb_Auditoria[[#This Row],[Nº CONTRATO]]&amp;"-"&amp;tb_Auditoria[[#This Row],[PARCELA ATUAL]])</f>
        <v>#REF!</v>
      </c>
      <c r="M157" s="19" t="e">
        <f>tb_Auditoria[[#This Row],[VALOR PAGO]] - tb_Auditoria[[#This Row],[VALOR ESPERADO]]</f>
        <v>#REF!</v>
      </c>
      <c r="N1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8" spans="1:15">
      <c r="A158" s="9">
        <v>1150440</v>
      </c>
      <c r="B158" s="10">
        <v>4</v>
      </c>
      <c r="C158" s="28">
        <v>4.0959999999999998E-3</v>
      </c>
      <c r="D158" s="12">
        <f>tb_Auditoria[[#This Row],[% TAXA RELATÓRIO]]*tb_Auditoria[[#This Row],[VALOR CRÉDITO]]</f>
        <v>1228.8</v>
      </c>
      <c r="E158" s="13">
        <v>45980</v>
      </c>
      <c r="F158" s="29" t="s">
        <v>16</v>
      </c>
      <c r="G15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5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58" s="19">
        <f>IFERROR(INDEX([1]!tb_Vendas[Crédito],MATCH(tb_Auditoria[[#This Row],[Nº CONTRATO]],[1]!tb_Vendas[Nº Contrato],0)),0)</f>
        <v>300000</v>
      </c>
      <c r="K158" s="21">
        <f>IFERROR(tb_Auditoria[[#This Row],[VALOR ESPERADO]] / tb_Auditoria[[#This Row],[VALOR CRÉDITO]], 0)</f>
        <v>0</v>
      </c>
      <c r="L158" s="19" t="e">
        <f>SUMIFS([1]!Motor_Comissão[Valor Previsto],[1]!Motor_Comissão[Chave], tb_Auditoria[[#This Row],[Nº CONTRATO]]&amp;"-"&amp;tb_Auditoria[[#This Row],[PARCELA ATUAL]])</f>
        <v>#REF!</v>
      </c>
      <c r="M158" s="19" t="e">
        <f>tb_Auditoria[[#This Row],[VALOR PAGO]] - tb_Auditoria[[#This Row],[VALOR ESPERADO]]</f>
        <v>#REF!</v>
      </c>
      <c r="N1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59" spans="1:15">
      <c r="A159" s="9">
        <v>1150441</v>
      </c>
      <c r="B159" s="10">
        <v>4</v>
      </c>
      <c r="C159" s="28">
        <v>4.0959999999999998E-3</v>
      </c>
      <c r="D159" s="12">
        <f>tb_Auditoria[[#This Row],[% TAXA RELATÓRIO]]*tb_Auditoria[[#This Row],[VALOR CRÉDITO]]</f>
        <v>1228.8</v>
      </c>
      <c r="E159" s="13">
        <v>45980</v>
      </c>
      <c r="F159" s="29" t="s">
        <v>16</v>
      </c>
      <c r="G15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5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5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59" s="19">
        <f>IFERROR(INDEX([1]!tb_Vendas[Crédito],MATCH(tb_Auditoria[[#This Row],[Nº CONTRATO]],[1]!tb_Vendas[Nº Contrato],0)),0)</f>
        <v>300000</v>
      </c>
      <c r="K159" s="21">
        <f>IFERROR(tb_Auditoria[[#This Row],[VALOR ESPERADO]] / tb_Auditoria[[#This Row],[VALOR CRÉDITO]], 0)</f>
        <v>0</v>
      </c>
      <c r="L159" s="19" t="e">
        <f>SUMIFS([1]!Motor_Comissão[Valor Previsto],[1]!Motor_Comissão[Chave], tb_Auditoria[[#This Row],[Nº CONTRATO]]&amp;"-"&amp;tb_Auditoria[[#This Row],[PARCELA ATUAL]])</f>
        <v>#REF!</v>
      </c>
      <c r="M159" s="19" t="e">
        <f>tb_Auditoria[[#This Row],[VALOR PAGO]] - tb_Auditoria[[#This Row],[VALOR ESPERADO]]</f>
        <v>#REF!</v>
      </c>
      <c r="N1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60" spans="1:15">
      <c r="A160" s="9">
        <v>1150442</v>
      </c>
      <c r="B160" s="10">
        <v>4</v>
      </c>
      <c r="C160" s="28">
        <v>4.0959999999999998E-3</v>
      </c>
      <c r="D160" s="12">
        <f>tb_Auditoria[[#This Row],[% TAXA RELATÓRIO]]*tb_Auditoria[[#This Row],[VALOR CRÉDITO]]</f>
        <v>1228.8</v>
      </c>
      <c r="E160" s="13">
        <v>45980</v>
      </c>
      <c r="F160" s="29" t="s">
        <v>16</v>
      </c>
      <c r="G16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6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60" s="19">
        <f>IFERROR(INDEX([1]!tb_Vendas[Crédito],MATCH(tb_Auditoria[[#This Row],[Nº CONTRATO]],[1]!tb_Vendas[Nº Contrato],0)),0)</f>
        <v>300000</v>
      </c>
      <c r="K160" s="21">
        <f>IFERROR(tb_Auditoria[[#This Row],[VALOR ESPERADO]] / tb_Auditoria[[#This Row],[VALOR CRÉDITO]], 0)</f>
        <v>0</v>
      </c>
      <c r="L160" s="19" t="e">
        <f>SUMIFS([1]!Motor_Comissão[Valor Previsto],[1]!Motor_Comissão[Chave], tb_Auditoria[[#This Row],[Nº CONTRATO]]&amp;"-"&amp;tb_Auditoria[[#This Row],[PARCELA ATUAL]])</f>
        <v>#REF!</v>
      </c>
      <c r="M160" s="19" t="e">
        <f>tb_Auditoria[[#This Row],[VALOR PAGO]] - tb_Auditoria[[#This Row],[VALOR ESPERADO]]</f>
        <v>#REF!</v>
      </c>
      <c r="N1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61" spans="1:15">
      <c r="A161" s="9">
        <v>1150443</v>
      </c>
      <c r="B161" s="10">
        <v>4</v>
      </c>
      <c r="C161" s="28">
        <v>4.0959999999999998E-3</v>
      </c>
      <c r="D161" s="12">
        <f>tb_Auditoria[[#This Row],[% TAXA RELATÓRIO]]*tb_Auditoria[[#This Row],[VALOR CRÉDITO]]</f>
        <v>1228.8</v>
      </c>
      <c r="E161" s="13">
        <v>45980</v>
      </c>
      <c r="F161" s="29" t="s">
        <v>16</v>
      </c>
      <c r="G16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6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61" s="19">
        <f>IFERROR(INDEX([1]!tb_Vendas[Crédito],MATCH(tb_Auditoria[[#This Row],[Nº CONTRATO]],[1]!tb_Vendas[Nº Contrato],0)),0)</f>
        <v>300000</v>
      </c>
      <c r="K161" s="21">
        <f>IFERROR(tb_Auditoria[[#This Row],[VALOR ESPERADO]] / tb_Auditoria[[#This Row],[VALOR CRÉDITO]], 0)</f>
        <v>0</v>
      </c>
      <c r="L161" s="19" t="e">
        <f>SUMIFS([1]!Motor_Comissão[Valor Previsto],[1]!Motor_Comissão[Chave], tb_Auditoria[[#This Row],[Nº CONTRATO]]&amp;"-"&amp;tb_Auditoria[[#This Row],[PARCELA ATUAL]])</f>
        <v>#REF!</v>
      </c>
      <c r="M161" s="19" t="e">
        <f>tb_Auditoria[[#This Row],[VALOR PAGO]] - tb_Auditoria[[#This Row],[VALOR ESPERADO]]</f>
        <v>#REF!</v>
      </c>
      <c r="N1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62" spans="1:15">
      <c r="A162" s="9">
        <v>1150445</v>
      </c>
      <c r="B162" s="10">
        <v>4</v>
      </c>
      <c r="C162" s="28">
        <v>4.0959999999999998E-3</v>
      </c>
      <c r="D162" s="12">
        <f>tb_Auditoria[[#This Row],[% TAXA RELATÓRIO]]*tb_Auditoria[[#This Row],[VALOR CRÉDITO]]</f>
        <v>1228.8</v>
      </c>
      <c r="E162" s="13">
        <v>45980</v>
      </c>
      <c r="F162" s="29" t="s">
        <v>16</v>
      </c>
      <c r="G16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6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62" s="19">
        <f>IFERROR(INDEX([1]!tb_Vendas[Crédito],MATCH(tb_Auditoria[[#This Row],[Nº CONTRATO]],[1]!tb_Vendas[Nº Contrato],0)),0)</f>
        <v>300000</v>
      </c>
      <c r="K162" s="21">
        <f>IFERROR(tb_Auditoria[[#This Row],[VALOR ESPERADO]] / tb_Auditoria[[#This Row],[VALOR CRÉDITO]], 0)</f>
        <v>0</v>
      </c>
      <c r="L162" s="19" t="e">
        <f>SUMIFS([1]!Motor_Comissão[Valor Previsto],[1]!Motor_Comissão[Chave], tb_Auditoria[[#This Row],[Nº CONTRATO]]&amp;"-"&amp;tb_Auditoria[[#This Row],[PARCELA ATUAL]])</f>
        <v>#REF!</v>
      </c>
      <c r="M162" s="19" t="e">
        <f>tb_Auditoria[[#This Row],[VALOR PAGO]] - tb_Auditoria[[#This Row],[VALOR ESPERADO]]</f>
        <v>#REF!</v>
      </c>
      <c r="N1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63" spans="1:15">
      <c r="A163" s="9">
        <v>1150446</v>
      </c>
      <c r="B163" s="10">
        <v>4</v>
      </c>
      <c r="C163" s="28">
        <v>4.0959999999999998E-3</v>
      </c>
      <c r="D163" s="12">
        <f>tb_Auditoria[[#This Row],[% TAXA RELATÓRIO]]*tb_Auditoria[[#This Row],[VALOR CRÉDITO]]</f>
        <v>1228.8</v>
      </c>
      <c r="E163" s="13">
        <v>45980</v>
      </c>
      <c r="F163" s="29" t="s">
        <v>16</v>
      </c>
      <c r="G16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6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63" s="19">
        <f>IFERROR(INDEX([1]!tb_Vendas[Crédito],MATCH(tb_Auditoria[[#This Row],[Nº CONTRATO]],[1]!tb_Vendas[Nº Contrato],0)),0)</f>
        <v>300000</v>
      </c>
      <c r="K163" s="21">
        <f>IFERROR(tb_Auditoria[[#This Row],[VALOR ESPERADO]] / tb_Auditoria[[#This Row],[VALOR CRÉDITO]], 0)</f>
        <v>0</v>
      </c>
      <c r="L163" s="19" t="e">
        <f>SUMIFS([1]!Motor_Comissão[Valor Previsto],[1]!Motor_Comissão[Chave], tb_Auditoria[[#This Row],[Nº CONTRATO]]&amp;"-"&amp;tb_Auditoria[[#This Row],[PARCELA ATUAL]])</f>
        <v>#REF!</v>
      </c>
      <c r="M163" s="19" t="e">
        <f>tb_Auditoria[[#This Row],[VALOR PAGO]] - tb_Auditoria[[#This Row],[VALOR ESPERADO]]</f>
        <v>#REF!</v>
      </c>
      <c r="N1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64" spans="1:15">
      <c r="A164" s="9">
        <v>1150447</v>
      </c>
      <c r="B164" s="10">
        <v>4</v>
      </c>
      <c r="C164" s="28">
        <v>4.0959999999999998E-3</v>
      </c>
      <c r="D164" s="12">
        <f>tb_Auditoria[[#This Row],[% TAXA RELATÓRIO]]*tb_Auditoria[[#This Row],[VALOR CRÉDITO]]</f>
        <v>1228.8</v>
      </c>
      <c r="E164" s="13">
        <v>45980</v>
      </c>
      <c r="F164" s="29" t="s">
        <v>16</v>
      </c>
      <c r="G16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6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64" s="19">
        <f>IFERROR(INDEX([1]!tb_Vendas[Crédito],MATCH(tb_Auditoria[[#This Row],[Nº CONTRATO]],[1]!tb_Vendas[Nº Contrato],0)),0)</f>
        <v>300000</v>
      </c>
      <c r="K164" s="21">
        <f>IFERROR(tb_Auditoria[[#This Row],[VALOR ESPERADO]] / tb_Auditoria[[#This Row],[VALOR CRÉDITO]], 0)</f>
        <v>0</v>
      </c>
      <c r="L164" s="19" t="e">
        <f>SUMIFS([1]!Motor_Comissão[Valor Previsto],[1]!Motor_Comissão[Chave], tb_Auditoria[[#This Row],[Nº CONTRATO]]&amp;"-"&amp;tb_Auditoria[[#This Row],[PARCELA ATUAL]])</f>
        <v>#REF!</v>
      </c>
      <c r="M164" s="19" t="e">
        <f>tb_Auditoria[[#This Row],[VALOR PAGO]] - tb_Auditoria[[#This Row],[VALOR ESPERADO]]</f>
        <v>#REF!</v>
      </c>
      <c r="N1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65" spans="1:15">
      <c r="A165" s="9">
        <v>1150448</v>
      </c>
      <c r="B165" s="10">
        <v>4</v>
      </c>
      <c r="C165" s="28">
        <v>4.0959999999999998E-3</v>
      </c>
      <c r="D165" s="12">
        <f>tb_Auditoria[[#This Row],[% TAXA RELATÓRIO]]*tb_Auditoria[[#This Row],[VALOR CRÉDITO]]</f>
        <v>1228.8</v>
      </c>
      <c r="E165" s="13">
        <v>45980</v>
      </c>
      <c r="F165" s="29" t="s">
        <v>16</v>
      </c>
      <c r="G16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6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65" s="19">
        <f>IFERROR(INDEX([1]!tb_Vendas[Crédito],MATCH(tb_Auditoria[[#This Row],[Nº CONTRATO]],[1]!tb_Vendas[Nº Contrato],0)),0)</f>
        <v>300000</v>
      </c>
      <c r="K165" s="21">
        <f>IFERROR(tb_Auditoria[[#This Row],[VALOR ESPERADO]] / tb_Auditoria[[#This Row],[VALOR CRÉDITO]], 0)</f>
        <v>0</v>
      </c>
      <c r="L165" s="19" t="e">
        <f>SUMIFS([1]!Motor_Comissão[Valor Previsto],[1]!Motor_Comissão[Chave], tb_Auditoria[[#This Row],[Nº CONTRATO]]&amp;"-"&amp;tb_Auditoria[[#This Row],[PARCELA ATUAL]])</f>
        <v>#REF!</v>
      </c>
      <c r="M165" s="19" t="e">
        <f>tb_Auditoria[[#This Row],[VALOR PAGO]] - tb_Auditoria[[#This Row],[VALOR ESPERADO]]</f>
        <v>#REF!</v>
      </c>
      <c r="N1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66" spans="1:15">
      <c r="A166" s="9">
        <v>1150449</v>
      </c>
      <c r="B166" s="10">
        <v>4</v>
      </c>
      <c r="C166" s="28">
        <v>4.0959999999999998E-3</v>
      </c>
      <c r="D166" s="12">
        <f>tb_Auditoria[[#This Row],[% TAXA RELATÓRIO]]*tb_Auditoria[[#This Row],[VALOR CRÉDITO]]</f>
        <v>1228.8</v>
      </c>
      <c r="E166" s="13">
        <v>45980</v>
      </c>
      <c r="F166" s="29" t="s">
        <v>16</v>
      </c>
      <c r="G16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6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66" s="19">
        <f>IFERROR(INDEX([1]!tb_Vendas[Crédito],MATCH(tb_Auditoria[[#This Row],[Nº CONTRATO]],[1]!tb_Vendas[Nº Contrato],0)),0)</f>
        <v>300000</v>
      </c>
      <c r="K166" s="21">
        <f>IFERROR(tb_Auditoria[[#This Row],[VALOR ESPERADO]] / tb_Auditoria[[#This Row],[VALOR CRÉDITO]], 0)</f>
        <v>0</v>
      </c>
      <c r="L166" s="19" t="e">
        <f>SUMIFS([1]!Motor_Comissão[Valor Previsto],[1]!Motor_Comissão[Chave], tb_Auditoria[[#This Row],[Nº CONTRATO]]&amp;"-"&amp;tb_Auditoria[[#This Row],[PARCELA ATUAL]])</f>
        <v>#REF!</v>
      </c>
      <c r="M166" s="19" t="e">
        <f>tb_Auditoria[[#This Row],[VALOR PAGO]] - tb_Auditoria[[#This Row],[VALOR ESPERADO]]</f>
        <v>#REF!</v>
      </c>
      <c r="N1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67" spans="1:15">
      <c r="A167" s="9">
        <v>1150451</v>
      </c>
      <c r="B167" s="10">
        <v>4</v>
      </c>
      <c r="C167" s="28">
        <v>4.0959999999999998E-3</v>
      </c>
      <c r="D167" s="12">
        <f>tb_Auditoria[[#This Row],[% TAXA RELATÓRIO]]*tb_Auditoria[[#This Row],[VALOR CRÉDITO]]</f>
        <v>1228.8</v>
      </c>
      <c r="E167" s="13">
        <v>45980</v>
      </c>
      <c r="F167" s="29" t="s">
        <v>16</v>
      </c>
      <c r="G16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6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67" s="19">
        <f>IFERROR(INDEX([1]!tb_Vendas[Crédito],MATCH(tb_Auditoria[[#This Row],[Nº CONTRATO]],[1]!tb_Vendas[Nº Contrato],0)),0)</f>
        <v>300000</v>
      </c>
      <c r="K167" s="21">
        <f>IFERROR(tb_Auditoria[[#This Row],[VALOR ESPERADO]] / tb_Auditoria[[#This Row],[VALOR CRÉDITO]], 0)</f>
        <v>0</v>
      </c>
      <c r="L167" s="19" t="e">
        <f>SUMIFS([1]!Motor_Comissão[Valor Previsto],[1]!Motor_Comissão[Chave], tb_Auditoria[[#This Row],[Nº CONTRATO]]&amp;"-"&amp;tb_Auditoria[[#This Row],[PARCELA ATUAL]])</f>
        <v>#REF!</v>
      </c>
      <c r="M167" s="19" t="e">
        <f>tb_Auditoria[[#This Row],[VALOR PAGO]] - tb_Auditoria[[#This Row],[VALOR ESPERADO]]</f>
        <v>#REF!</v>
      </c>
      <c r="N1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68" spans="1:15">
      <c r="A168" s="9">
        <v>1150437</v>
      </c>
      <c r="B168" s="10">
        <v>6</v>
      </c>
      <c r="C168" s="28">
        <v>4.0959999999999998E-3</v>
      </c>
      <c r="D168" s="12">
        <f>tb_Auditoria[[#This Row],[% TAXA RELATÓRIO]]*tb_Auditoria[[#This Row],[VALOR CRÉDITO]]</f>
        <v>1228.8</v>
      </c>
      <c r="E168" s="13">
        <v>46038</v>
      </c>
      <c r="F168" s="29" t="s">
        <v>16</v>
      </c>
      <c r="G16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6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68" s="19">
        <f>IFERROR(INDEX([1]!tb_Vendas[Crédito],MATCH(tb_Auditoria[[#This Row],[Nº CONTRATO]],[1]!tb_Vendas[Nº Contrato],0)),0)</f>
        <v>300000</v>
      </c>
      <c r="K168" s="21">
        <f>IFERROR(tb_Auditoria[[#This Row],[VALOR ESPERADO]] / tb_Auditoria[[#This Row],[VALOR CRÉDITO]], 0)</f>
        <v>0</v>
      </c>
      <c r="L168" s="19" t="e">
        <f>SUMIFS([1]!Motor_Comissão[Valor Previsto],[1]!Motor_Comissão[Chave], tb_Auditoria[[#This Row],[Nº CONTRATO]]&amp;"-"&amp;tb_Auditoria[[#This Row],[PARCELA ATUAL]])</f>
        <v>#REF!</v>
      </c>
      <c r="M168" s="19" t="e">
        <f>tb_Auditoria[[#This Row],[VALOR PAGO]] - tb_Auditoria[[#This Row],[VALOR ESPERADO]]</f>
        <v>#REF!</v>
      </c>
      <c r="N16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69" spans="1:15">
      <c r="A169" s="9">
        <v>1150439</v>
      </c>
      <c r="B169" s="10">
        <v>6</v>
      </c>
      <c r="C169" s="28">
        <v>4.0959999999999998E-3</v>
      </c>
      <c r="D169" s="12">
        <f>tb_Auditoria[[#This Row],[% TAXA RELATÓRIO]]*tb_Auditoria[[#This Row],[VALOR CRÉDITO]]</f>
        <v>1228.8</v>
      </c>
      <c r="E169" s="13">
        <v>46038</v>
      </c>
      <c r="F169" s="29" t="s">
        <v>16</v>
      </c>
      <c r="G16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6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6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69" s="19">
        <f>IFERROR(INDEX([1]!tb_Vendas[Crédito],MATCH(tb_Auditoria[[#This Row],[Nº CONTRATO]],[1]!tb_Vendas[Nº Contrato],0)),0)</f>
        <v>300000</v>
      </c>
      <c r="K169" s="21">
        <f>IFERROR(tb_Auditoria[[#This Row],[VALOR ESPERADO]] / tb_Auditoria[[#This Row],[VALOR CRÉDITO]], 0)</f>
        <v>0</v>
      </c>
      <c r="L169" s="19" t="e">
        <f>SUMIFS([1]!Motor_Comissão[Valor Previsto],[1]!Motor_Comissão[Chave], tb_Auditoria[[#This Row],[Nº CONTRATO]]&amp;"-"&amp;tb_Auditoria[[#This Row],[PARCELA ATUAL]])</f>
        <v>#REF!</v>
      </c>
      <c r="M169" s="19" t="e">
        <f>tb_Auditoria[[#This Row],[VALOR PAGO]] - tb_Auditoria[[#This Row],[VALOR ESPERADO]]</f>
        <v>#REF!</v>
      </c>
      <c r="N1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70" spans="1:15">
      <c r="A170" s="9">
        <v>1150440</v>
      </c>
      <c r="B170" s="10">
        <v>6</v>
      </c>
      <c r="C170" s="28">
        <v>4.0959999999999998E-3</v>
      </c>
      <c r="D170" s="12">
        <f>tb_Auditoria[[#This Row],[% TAXA RELATÓRIO]]*tb_Auditoria[[#This Row],[VALOR CRÉDITO]]</f>
        <v>1228.8</v>
      </c>
      <c r="E170" s="13">
        <v>46038</v>
      </c>
      <c r="F170" s="29" t="s">
        <v>16</v>
      </c>
      <c r="G17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7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70" s="19">
        <f>IFERROR(INDEX([1]!tb_Vendas[Crédito],MATCH(tb_Auditoria[[#This Row],[Nº CONTRATO]],[1]!tb_Vendas[Nº Contrato],0)),0)</f>
        <v>300000</v>
      </c>
      <c r="K170" s="21">
        <f>IFERROR(tb_Auditoria[[#This Row],[VALOR ESPERADO]] / tb_Auditoria[[#This Row],[VALOR CRÉDITO]], 0)</f>
        <v>0</v>
      </c>
      <c r="L170" s="19" t="e">
        <f>SUMIFS([1]!Motor_Comissão[Valor Previsto],[1]!Motor_Comissão[Chave], tb_Auditoria[[#This Row],[Nº CONTRATO]]&amp;"-"&amp;tb_Auditoria[[#This Row],[PARCELA ATUAL]])</f>
        <v>#REF!</v>
      </c>
      <c r="M170" s="19" t="e">
        <f>tb_Auditoria[[#This Row],[VALOR PAGO]] - tb_Auditoria[[#This Row],[VALOR ESPERADO]]</f>
        <v>#REF!</v>
      </c>
      <c r="N1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71" spans="1:15">
      <c r="A171" s="9">
        <v>1150441</v>
      </c>
      <c r="B171" s="10">
        <v>6</v>
      </c>
      <c r="C171" s="28">
        <v>4.0959999999999998E-3</v>
      </c>
      <c r="D171" s="12">
        <f>tb_Auditoria[[#This Row],[% TAXA RELATÓRIO]]*tb_Auditoria[[#This Row],[VALOR CRÉDITO]]</f>
        <v>1228.8</v>
      </c>
      <c r="E171" s="13">
        <v>46038</v>
      </c>
      <c r="F171" s="29" t="s">
        <v>16</v>
      </c>
      <c r="G17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7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71" s="19">
        <f>IFERROR(INDEX([1]!tb_Vendas[Crédito],MATCH(tb_Auditoria[[#This Row],[Nº CONTRATO]],[1]!tb_Vendas[Nº Contrato],0)),0)</f>
        <v>300000</v>
      </c>
      <c r="K171" s="21">
        <f>IFERROR(tb_Auditoria[[#This Row],[VALOR ESPERADO]] / tb_Auditoria[[#This Row],[VALOR CRÉDITO]], 0)</f>
        <v>0</v>
      </c>
      <c r="L171" s="19" t="e">
        <f>SUMIFS([1]!Motor_Comissão[Valor Previsto],[1]!Motor_Comissão[Chave], tb_Auditoria[[#This Row],[Nº CONTRATO]]&amp;"-"&amp;tb_Auditoria[[#This Row],[PARCELA ATUAL]])</f>
        <v>#REF!</v>
      </c>
      <c r="M171" s="19" t="e">
        <f>tb_Auditoria[[#This Row],[VALOR PAGO]] - tb_Auditoria[[#This Row],[VALOR ESPERADO]]</f>
        <v>#REF!</v>
      </c>
      <c r="N1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72" spans="1:15">
      <c r="A172" s="9">
        <v>1150442</v>
      </c>
      <c r="B172" s="10">
        <v>6</v>
      </c>
      <c r="C172" s="28">
        <v>4.0959999999999998E-3</v>
      </c>
      <c r="D172" s="12">
        <f>tb_Auditoria[[#This Row],[% TAXA RELATÓRIO]]*tb_Auditoria[[#This Row],[VALOR CRÉDITO]]</f>
        <v>1228.8</v>
      </c>
      <c r="E172" s="13">
        <v>46038</v>
      </c>
      <c r="F172" s="29" t="s">
        <v>16</v>
      </c>
      <c r="G17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7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72" s="19">
        <f>IFERROR(INDEX([1]!tb_Vendas[Crédito],MATCH(tb_Auditoria[[#This Row],[Nº CONTRATO]],[1]!tb_Vendas[Nº Contrato],0)),0)</f>
        <v>300000</v>
      </c>
      <c r="K172" s="21">
        <f>IFERROR(tb_Auditoria[[#This Row],[VALOR ESPERADO]] / tb_Auditoria[[#This Row],[VALOR CRÉDITO]], 0)</f>
        <v>0</v>
      </c>
      <c r="L172" s="19" t="e">
        <f>SUMIFS([1]!Motor_Comissão[Valor Previsto],[1]!Motor_Comissão[Chave], tb_Auditoria[[#This Row],[Nº CONTRATO]]&amp;"-"&amp;tb_Auditoria[[#This Row],[PARCELA ATUAL]])</f>
        <v>#REF!</v>
      </c>
      <c r="M172" s="19" t="e">
        <f>tb_Auditoria[[#This Row],[VALOR PAGO]] - tb_Auditoria[[#This Row],[VALOR ESPERADO]]</f>
        <v>#REF!</v>
      </c>
      <c r="N1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73" spans="1:15">
      <c r="A173" s="9">
        <v>1150443</v>
      </c>
      <c r="B173" s="10">
        <v>6</v>
      </c>
      <c r="C173" s="28">
        <v>4.0959999999999998E-3</v>
      </c>
      <c r="D173" s="12">
        <f>tb_Auditoria[[#This Row],[% TAXA RELATÓRIO]]*tb_Auditoria[[#This Row],[VALOR CRÉDITO]]</f>
        <v>1228.8</v>
      </c>
      <c r="E173" s="13">
        <v>46038</v>
      </c>
      <c r="F173" s="29" t="s">
        <v>16</v>
      </c>
      <c r="G17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7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73" s="19">
        <f>IFERROR(INDEX([1]!tb_Vendas[Crédito],MATCH(tb_Auditoria[[#This Row],[Nº CONTRATO]],[1]!tb_Vendas[Nº Contrato],0)),0)</f>
        <v>300000</v>
      </c>
      <c r="K173" s="21">
        <f>IFERROR(tb_Auditoria[[#This Row],[VALOR ESPERADO]] / tb_Auditoria[[#This Row],[VALOR CRÉDITO]], 0)</f>
        <v>0</v>
      </c>
      <c r="L173" s="19" t="e">
        <f>SUMIFS([1]!Motor_Comissão[Valor Previsto],[1]!Motor_Comissão[Chave], tb_Auditoria[[#This Row],[Nº CONTRATO]]&amp;"-"&amp;tb_Auditoria[[#This Row],[PARCELA ATUAL]])</f>
        <v>#REF!</v>
      </c>
      <c r="M173" s="19" t="e">
        <f>tb_Auditoria[[#This Row],[VALOR PAGO]] - tb_Auditoria[[#This Row],[VALOR ESPERADO]]</f>
        <v>#REF!</v>
      </c>
      <c r="N1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74" spans="1:15">
      <c r="A174" s="9">
        <v>1150445</v>
      </c>
      <c r="B174" s="10">
        <v>6</v>
      </c>
      <c r="C174" s="28">
        <v>4.0959999999999998E-3</v>
      </c>
      <c r="D174" s="12">
        <f>tb_Auditoria[[#This Row],[% TAXA RELATÓRIO]]*tb_Auditoria[[#This Row],[VALOR CRÉDITO]]</f>
        <v>1228.8</v>
      </c>
      <c r="E174" s="13">
        <v>46038</v>
      </c>
      <c r="F174" s="29" t="s">
        <v>16</v>
      </c>
      <c r="G17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7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74" s="19">
        <f>IFERROR(INDEX([1]!tb_Vendas[Crédito],MATCH(tb_Auditoria[[#This Row],[Nº CONTRATO]],[1]!tb_Vendas[Nº Contrato],0)),0)</f>
        <v>300000</v>
      </c>
      <c r="K174" s="21">
        <f>IFERROR(tb_Auditoria[[#This Row],[VALOR ESPERADO]] / tb_Auditoria[[#This Row],[VALOR CRÉDITO]], 0)</f>
        <v>0</v>
      </c>
      <c r="L174" s="19" t="e">
        <f>SUMIFS([1]!Motor_Comissão[Valor Previsto],[1]!Motor_Comissão[Chave], tb_Auditoria[[#This Row],[Nº CONTRATO]]&amp;"-"&amp;tb_Auditoria[[#This Row],[PARCELA ATUAL]])</f>
        <v>#REF!</v>
      </c>
      <c r="M174" s="19" t="e">
        <f>tb_Auditoria[[#This Row],[VALOR PAGO]] - tb_Auditoria[[#This Row],[VALOR ESPERADO]]</f>
        <v>#REF!</v>
      </c>
      <c r="N1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75" spans="1:15">
      <c r="A175" s="9">
        <v>1150446</v>
      </c>
      <c r="B175" s="10">
        <v>6</v>
      </c>
      <c r="C175" s="28">
        <v>4.0959999999999998E-3</v>
      </c>
      <c r="D175" s="12">
        <f>tb_Auditoria[[#This Row],[% TAXA RELATÓRIO]]*tb_Auditoria[[#This Row],[VALOR CRÉDITO]]</f>
        <v>1228.8</v>
      </c>
      <c r="E175" s="13">
        <v>46038</v>
      </c>
      <c r="F175" s="29" t="s">
        <v>16</v>
      </c>
      <c r="G17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7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75" s="19">
        <f>IFERROR(INDEX([1]!tb_Vendas[Crédito],MATCH(tb_Auditoria[[#This Row],[Nº CONTRATO]],[1]!tb_Vendas[Nº Contrato],0)),0)</f>
        <v>300000</v>
      </c>
      <c r="K175" s="21">
        <f>IFERROR(tb_Auditoria[[#This Row],[VALOR ESPERADO]] / tb_Auditoria[[#This Row],[VALOR CRÉDITO]], 0)</f>
        <v>0</v>
      </c>
      <c r="L175" s="19" t="e">
        <f>SUMIFS([1]!Motor_Comissão[Valor Previsto],[1]!Motor_Comissão[Chave], tb_Auditoria[[#This Row],[Nº CONTRATO]]&amp;"-"&amp;tb_Auditoria[[#This Row],[PARCELA ATUAL]])</f>
        <v>#REF!</v>
      </c>
      <c r="M175" s="19" t="e">
        <f>tb_Auditoria[[#This Row],[VALOR PAGO]] - tb_Auditoria[[#This Row],[VALOR ESPERADO]]</f>
        <v>#REF!</v>
      </c>
      <c r="N1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76" spans="1:15">
      <c r="A176" s="9">
        <v>1150447</v>
      </c>
      <c r="B176" s="10">
        <v>6</v>
      </c>
      <c r="C176" s="28">
        <v>4.0959999999999998E-3</v>
      </c>
      <c r="D176" s="12">
        <f>tb_Auditoria[[#This Row],[% TAXA RELATÓRIO]]*tb_Auditoria[[#This Row],[VALOR CRÉDITO]]</f>
        <v>1228.8</v>
      </c>
      <c r="E176" s="13">
        <v>46038</v>
      </c>
      <c r="F176" s="29" t="s">
        <v>16</v>
      </c>
      <c r="G17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7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76" s="19">
        <f>IFERROR(INDEX([1]!tb_Vendas[Crédito],MATCH(tb_Auditoria[[#This Row],[Nº CONTRATO]],[1]!tb_Vendas[Nº Contrato],0)),0)</f>
        <v>300000</v>
      </c>
      <c r="K176" s="21">
        <f>IFERROR(tb_Auditoria[[#This Row],[VALOR ESPERADO]] / tb_Auditoria[[#This Row],[VALOR CRÉDITO]], 0)</f>
        <v>0</v>
      </c>
      <c r="L176" s="19" t="e">
        <f>SUMIFS([1]!Motor_Comissão[Valor Previsto],[1]!Motor_Comissão[Chave], tb_Auditoria[[#This Row],[Nº CONTRATO]]&amp;"-"&amp;tb_Auditoria[[#This Row],[PARCELA ATUAL]])</f>
        <v>#REF!</v>
      </c>
      <c r="M176" s="19" t="e">
        <f>tb_Auditoria[[#This Row],[VALOR PAGO]] - tb_Auditoria[[#This Row],[VALOR ESPERADO]]</f>
        <v>#REF!</v>
      </c>
      <c r="N1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77" spans="1:15">
      <c r="A177" s="9">
        <v>1150448</v>
      </c>
      <c r="B177" s="10">
        <v>6</v>
      </c>
      <c r="C177" s="28">
        <v>4.0959999999999998E-3</v>
      </c>
      <c r="D177" s="12">
        <f>tb_Auditoria[[#This Row],[% TAXA RELATÓRIO]]*tb_Auditoria[[#This Row],[VALOR CRÉDITO]]</f>
        <v>1228.8</v>
      </c>
      <c r="E177" s="13">
        <v>46038</v>
      </c>
      <c r="F177" s="29" t="s">
        <v>16</v>
      </c>
      <c r="G17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7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77" s="19">
        <f>IFERROR(INDEX([1]!tb_Vendas[Crédito],MATCH(tb_Auditoria[[#This Row],[Nº CONTRATO]],[1]!tb_Vendas[Nº Contrato],0)),0)</f>
        <v>300000</v>
      </c>
      <c r="K177" s="21">
        <f>IFERROR(tb_Auditoria[[#This Row],[VALOR ESPERADO]] / tb_Auditoria[[#This Row],[VALOR CRÉDITO]], 0)</f>
        <v>0</v>
      </c>
      <c r="L177" s="19" t="e">
        <f>SUMIFS([1]!Motor_Comissão[Valor Previsto],[1]!Motor_Comissão[Chave], tb_Auditoria[[#This Row],[Nº CONTRATO]]&amp;"-"&amp;tb_Auditoria[[#This Row],[PARCELA ATUAL]])</f>
        <v>#REF!</v>
      </c>
      <c r="M177" s="19" t="e">
        <f>tb_Auditoria[[#This Row],[VALOR PAGO]] - tb_Auditoria[[#This Row],[VALOR ESPERADO]]</f>
        <v>#REF!</v>
      </c>
      <c r="N1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78" spans="1:15">
      <c r="A178" s="9">
        <v>1150449</v>
      </c>
      <c r="B178" s="10">
        <v>6</v>
      </c>
      <c r="C178" s="28">
        <v>4.0959999999999998E-3</v>
      </c>
      <c r="D178" s="12">
        <f>tb_Auditoria[[#This Row],[% TAXA RELATÓRIO]]*tb_Auditoria[[#This Row],[VALOR CRÉDITO]]</f>
        <v>1228.8</v>
      </c>
      <c r="E178" s="13">
        <v>46038</v>
      </c>
      <c r="F178" s="29" t="s">
        <v>16</v>
      </c>
      <c r="G17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7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78" s="19">
        <f>IFERROR(INDEX([1]!tb_Vendas[Crédito],MATCH(tb_Auditoria[[#This Row],[Nº CONTRATO]],[1]!tb_Vendas[Nº Contrato],0)),0)</f>
        <v>300000</v>
      </c>
      <c r="K178" s="21">
        <f>IFERROR(tb_Auditoria[[#This Row],[VALOR ESPERADO]] / tb_Auditoria[[#This Row],[VALOR CRÉDITO]], 0)</f>
        <v>0</v>
      </c>
      <c r="L178" s="19" t="e">
        <f>SUMIFS([1]!Motor_Comissão[Valor Previsto],[1]!Motor_Comissão[Chave], tb_Auditoria[[#This Row],[Nº CONTRATO]]&amp;"-"&amp;tb_Auditoria[[#This Row],[PARCELA ATUAL]])</f>
        <v>#REF!</v>
      </c>
      <c r="M178" s="19" t="e">
        <f>tb_Auditoria[[#This Row],[VALOR PAGO]] - tb_Auditoria[[#This Row],[VALOR ESPERADO]]</f>
        <v>#REF!</v>
      </c>
      <c r="N1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79" spans="1:15">
      <c r="A179" s="9">
        <v>1150451</v>
      </c>
      <c r="B179" s="10">
        <v>6</v>
      </c>
      <c r="C179" s="28">
        <v>4.0959999999999998E-3</v>
      </c>
      <c r="D179" s="12">
        <f>tb_Auditoria[[#This Row],[% TAXA RELATÓRIO]]*tb_Auditoria[[#This Row],[VALOR CRÉDITO]]</f>
        <v>1228.8</v>
      </c>
      <c r="E179" s="13">
        <v>46038</v>
      </c>
      <c r="F179" s="29" t="s">
        <v>16</v>
      </c>
      <c r="G17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7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7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79" s="19">
        <f>IFERROR(INDEX([1]!tb_Vendas[Crédito],MATCH(tb_Auditoria[[#This Row],[Nº CONTRATO]],[1]!tb_Vendas[Nº Contrato],0)),0)</f>
        <v>300000</v>
      </c>
      <c r="K179" s="21">
        <f>IFERROR(tb_Auditoria[[#This Row],[VALOR ESPERADO]] / tb_Auditoria[[#This Row],[VALOR CRÉDITO]], 0)</f>
        <v>0</v>
      </c>
      <c r="L179" s="19" t="e">
        <f>SUMIFS([1]!Motor_Comissão[Valor Previsto],[1]!Motor_Comissão[Chave], tb_Auditoria[[#This Row],[Nº CONTRATO]]&amp;"-"&amp;tb_Auditoria[[#This Row],[PARCELA ATUAL]])</f>
        <v>#REF!</v>
      </c>
      <c r="M179" s="19" t="e">
        <f>tb_Auditoria[[#This Row],[VALOR PAGO]] - tb_Auditoria[[#This Row],[VALOR ESPERADO]]</f>
        <v>#REF!</v>
      </c>
      <c r="N1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80" spans="1:15">
      <c r="A180" s="9">
        <v>1150437</v>
      </c>
      <c r="B180" s="10">
        <v>7</v>
      </c>
      <c r="C180" s="28">
        <v>1.856E-3</v>
      </c>
      <c r="D180" s="12">
        <f>tb_Auditoria[[#This Row],[% TAXA RELATÓRIO]]*tb_Auditoria[[#This Row],[VALOR CRÉDITO]]</f>
        <v>556.79999999999995</v>
      </c>
      <c r="E180" s="13">
        <v>46072</v>
      </c>
      <c r="F180" s="29" t="s">
        <v>16</v>
      </c>
      <c r="G18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8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80" s="19">
        <f>IFERROR(INDEX([1]!tb_Vendas[Crédito],MATCH(tb_Auditoria[[#This Row],[Nº CONTRATO]],[1]!tb_Vendas[Nº Contrato],0)),0)</f>
        <v>300000</v>
      </c>
      <c r="K180" s="21">
        <f>IFERROR(tb_Auditoria[[#This Row],[VALOR ESPERADO]] / tb_Auditoria[[#This Row],[VALOR CRÉDITO]], 0)</f>
        <v>0</v>
      </c>
      <c r="L180" s="19" t="e">
        <f>SUMIFS([1]!Motor_Comissão[Valor Previsto],[1]!Motor_Comissão[Chave], tb_Auditoria[[#This Row],[Nº CONTRATO]]&amp;"-"&amp;tb_Auditoria[[#This Row],[PARCELA ATUAL]])</f>
        <v>#REF!</v>
      </c>
      <c r="M180" s="19" t="e">
        <f>tb_Auditoria[[#This Row],[VALOR PAGO]] - tb_Auditoria[[#This Row],[VALOR ESPERADO]]</f>
        <v>#REF!</v>
      </c>
      <c r="N1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81" spans="1:15">
      <c r="A181" s="9">
        <v>1150439</v>
      </c>
      <c r="B181" s="10">
        <v>7</v>
      </c>
      <c r="C181" s="28">
        <v>1.856E-3</v>
      </c>
      <c r="D181" s="12">
        <f>tb_Auditoria[[#This Row],[% TAXA RELATÓRIO]]*tb_Auditoria[[#This Row],[VALOR CRÉDITO]]</f>
        <v>556.79999999999995</v>
      </c>
      <c r="E181" s="13">
        <v>46072</v>
      </c>
      <c r="F181" s="29" t="s">
        <v>16</v>
      </c>
      <c r="G18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8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81" s="19">
        <f>IFERROR(INDEX([1]!tb_Vendas[Crédito],MATCH(tb_Auditoria[[#This Row],[Nº CONTRATO]],[1]!tb_Vendas[Nº Contrato],0)),0)</f>
        <v>300000</v>
      </c>
      <c r="K181" s="21">
        <f>IFERROR(tb_Auditoria[[#This Row],[VALOR ESPERADO]] / tb_Auditoria[[#This Row],[VALOR CRÉDITO]], 0)</f>
        <v>0</v>
      </c>
      <c r="L181" s="19" t="e">
        <f>SUMIFS([1]!Motor_Comissão[Valor Previsto],[1]!Motor_Comissão[Chave], tb_Auditoria[[#This Row],[Nº CONTRATO]]&amp;"-"&amp;tb_Auditoria[[#This Row],[PARCELA ATUAL]])</f>
        <v>#REF!</v>
      </c>
      <c r="M181" s="19" t="e">
        <f>tb_Auditoria[[#This Row],[VALOR PAGO]] - tb_Auditoria[[#This Row],[VALOR ESPERADO]]</f>
        <v>#REF!</v>
      </c>
      <c r="N1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82" spans="1:15">
      <c r="A182" s="9">
        <v>1150440</v>
      </c>
      <c r="B182" s="10">
        <v>7</v>
      </c>
      <c r="C182" s="28">
        <v>1.856E-3</v>
      </c>
      <c r="D182" s="12">
        <f>tb_Auditoria[[#This Row],[% TAXA RELATÓRIO]]*tb_Auditoria[[#This Row],[VALOR CRÉDITO]]</f>
        <v>556.79999999999995</v>
      </c>
      <c r="E182" s="13">
        <v>46072</v>
      </c>
      <c r="F182" s="29" t="s">
        <v>16</v>
      </c>
      <c r="G18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8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82" s="19">
        <f>IFERROR(INDEX([1]!tb_Vendas[Crédito],MATCH(tb_Auditoria[[#This Row],[Nº CONTRATO]],[1]!tb_Vendas[Nº Contrato],0)),0)</f>
        <v>300000</v>
      </c>
      <c r="K182" s="21">
        <f>IFERROR(tb_Auditoria[[#This Row],[VALOR ESPERADO]] / tb_Auditoria[[#This Row],[VALOR CRÉDITO]], 0)</f>
        <v>0</v>
      </c>
      <c r="L182" s="19" t="e">
        <f>SUMIFS([1]!Motor_Comissão[Valor Previsto],[1]!Motor_Comissão[Chave], tb_Auditoria[[#This Row],[Nº CONTRATO]]&amp;"-"&amp;tb_Auditoria[[#This Row],[PARCELA ATUAL]])</f>
        <v>#REF!</v>
      </c>
      <c r="M182" s="19" t="e">
        <f>tb_Auditoria[[#This Row],[VALOR PAGO]] - tb_Auditoria[[#This Row],[VALOR ESPERADO]]</f>
        <v>#REF!</v>
      </c>
      <c r="N1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83" spans="1:15">
      <c r="A183" s="9">
        <v>1150441</v>
      </c>
      <c r="B183" s="10">
        <v>7</v>
      </c>
      <c r="C183" s="28">
        <v>1.856E-3</v>
      </c>
      <c r="D183" s="12">
        <f>tb_Auditoria[[#This Row],[% TAXA RELATÓRIO]]*tb_Auditoria[[#This Row],[VALOR CRÉDITO]]</f>
        <v>556.79999999999995</v>
      </c>
      <c r="E183" s="13">
        <v>46072</v>
      </c>
      <c r="F183" s="29" t="s">
        <v>16</v>
      </c>
      <c r="G18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8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83" s="19">
        <f>IFERROR(INDEX([1]!tb_Vendas[Crédito],MATCH(tb_Auditoria[[#This Row],[Nº CONTRATO]],[1]!tb_Vendas[Nº Contrato],0)),0)</f>
        <v>300000</v>
      </c>
      <c r="K183" s="21">
        <f>IFERROR(tb_Auditoria[[#This Row],[VALOR ESPERADO]] / tb_Auditoria[[#This Row],[VALOR CRÉDITO]], 0)</f>
        <v>0</v>
      </c>
      <c r="L183" s="19" t="e">
        <f>SUMIFS([1]!Motor_Comissão[Valor Previsto],[1]!Motor_Comissão[Chave], tb_Auditoria[[#This Row],[Nº CONTRATO]]&amp;"-"&amp;tb_Auditoria[[#This Row],[PARCELA ATUAL]])</f>
        <v>#REF!</v>
      </c>
      <c r="M183" s="19" t="e">
        <f>tb_Auditoria[[#This Row],[VALOR PAGO]] - tb_Auditoria[[#This Row],[VALOR ESPERADO]]</f>
        <v>#REF!</v>
      </c>
      <c r="N1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84" spans="1:15">
      <c r="A184" s="9">
        <v>1150442</v>
      </c>
      <c r="B184" s="10">
        <v>7</v>
      </c>
      <c r="C184" s="28">
        <v>1.856E-3</v>
      </c>
      <c r="D184" s="12">
        <f>tb_Auditoria[[#This Row],[% TAXA RELATÓRIO]]*tb_Auditoria[[#This Row],[VALOR CRÉDITO]]</f>
        <v>556.79999999999995</v>
      </c>
      <c r="E184" s="13">
        <v>46072</v>
      </c>
      <c r="F184" s="29" t="s">
        <v>16</v>
      </c>
      <c r="G18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8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84" s="19">
        <f>IFERROR(INDEX([1]!tb_Vendas[Crédito],MATCH(tb_Auditoria[[#This Row],[Nº CONTRATO]],[1]!tb_Vendas[Nº Contrato],0)),0)</f>
        <v>300000</v>
      </c>
      <c r="K184" s="21">
        <f>IFERROR(tb_Auditoria[[#This Row],[VALOR ESPERADO]] / tb_Auditoria[[#This Row],[VALOR CRÉDITO]], 0)</f>
        <v>0</v>
      </c>
      <c r="L184" s="19" t="e">
        <f>SUMIFS([1]!Motor_Comissão[Valor Previsto],[1]!Motor_Comissão[Chave], tb_Auditoria[[#This Row],[Nº CONTRATO]]&amp;"-"&amp;tb_Auditoria[[#This Row],[PARCELA ATUAL]])</f>
        <v>#REF!</v>
      </c>
      <c r="M184" s="19" t="e">
        <f>tb_Auditoria[[#This Row],[VALOR PAGO]] - tb_Auditoria[[#This Row],[VALOR ESPERADO]]</f>
        <v>#REF!</v>
      </c>
      <c r="N1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85" spans="1:15">
      <c r="A185" s="9">
        <v>1150443</v>
      </c>
      <c r="B185" s="10">
        <v>7</v>
      </c>
      <c r="C185" s="28">
        <v>1.856E-3</v>
      </c>
      <c r="D185" s="12">
        <f>tb_Auditoria[[#This Row],[% TAXA RELATÓRIO]]*tb_Auditoria[[#This Row],[VALOR CRÉDITO]]</f>
        <v>556.79999999999995</v>
      </c>
      <c r="E185" s="13">
        <v>46072</v>
      </c>
      <c r="F185" s="29" t="s">
        <v>16</v>
      </c>
      <c r="G18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8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85" s="19">
        <f>IFERROR(INDEX([1]!tb_Vendas[Crédito],MATCH(tb_Auditoria[[#This Row],[Nº CONTRATO]],[1]!tb_Vendas[Nº Contrato],0)),0)</f>
        <v>300000</v>
      </c>
      <c r="K185" s="21">
        <f>IFERROR(tb_Auditoria[[#This Row],[VALOR ESPERADO]] / tb_Auditoria[[#This Row],[VALOR CRÉDITO]], 0)</f>
        <v>0</v>
      </c>
      <c r="L185" s="19" t="e">
        <f>SUMIFS([1]!Motor_Comissão[Valor Previsto],[1]!Motor_Comissão[Chave], tb_Auditoria[[#This Row],[Nº CONTRATO]]&amp;"-"&amp;tb_Auditoria[[#This Row],[PARCELA ATUAL]])</f>
        <v>#REF!</v>
      </c>
      <c r="M185" s="19" t="e">
        <f>tb_Auditoria[[#This Row],[VALOR PAGO]] - tb_Auditoria[[#This Row],[VALOR ESPERADO]]</f>
        <v>#REF!</v>
      </c>
      <c r="N1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86" spans="1:15">
      <c r="A186" s="9">
        <v>1150445</v>
      </c>
      <c r="B186" s="10">
        <v>7</v>
      </c>
      <c r="C186" s="28">
        <v>1.856E-3</v>
      </c>
      <c r="D186" s="12">
        <f>tb_Auditoria[[#This Row],[% TAXA RELATÓRIO]]*tb_Auditoria[[#This Row],[VALOR CRÉDITO]]</f>
        <v>556.79999999999995</v>
      </c>
      <c r="E186" s="13">
        <v>46072</v>
      </c>
      <c r="F186" s="29" t="s">
        <v>16</v>
      </c>
      <c r="G18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8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86" s="19">
        <f>IFERROR(INDEX([1]!tb_Vendas[Crédito],MATCH(tb_Auditoria[[#This Row],[Nº CONTRATO]],[1]!tb_Vendas[Nº Contrato],0)),0)</f>
        <v>300000</v>
      </c>
      <c r="K186" s="21">
        <f>IFERROR(tb_Auditoria[[#This Row],[VALOR ESPERADO]] / tb_Auditoria[[#This Row],[VALOR CRÉDITO]], 0)</f>
        <v>0</v>
      </c>
      <c r="L186" s="19" t="e">
        <f>SUMIFS([1]!Motor_Comissão[Valor Previsto],[1]!Motor_Comissão[Chave], tb_Auditoria[[#This Row],[Nº CONTRATO]]&amp;"-"&amp;tb_Auditoria[[#This Row],[PARCELA ATUAL]])</f>
        <v>#REF!</v>
      </c>
      <c r="M186" s="19" t="e">
        <f>tb_Auditoria[[#This Row],[VALOR PAGO]] - tb_Auditoria[[#This Row],[VALOR ESPERADO]]</f>
        <v>#REF!</v>
      </c>
      <c r="N1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87" spans="1:15">
      <c r="A187" s="9">
        <v>1150446</v>
      </c>
      <c r="B187" s="10">
        <v>7</v>
      </c>
      <c r="C187" s="28">
        <v>1.856E-3</v>
      </c>
      <c r="D187" s="12">
        <f>tb_Auditoria[[#This Row],[% TAXA RELATÓRIO]]*tb_Auditoria[[#This Row],[VALOR CRÉDITO]]</f>
        <v>556.79999999999995</v>
      </c>
      <c r="E187" s="13">
        <v>46072</v>
      </c>
      <c r="F187" s="29" t="s">
        <v>16</v>
      </c>
      <c r="G18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8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87" s="19">
        <f>IFERROR(INDEX([1]!tb_Vendas[Crédito],MATCH(tb_Auditoria[[#This Row],[Nº CONTRATO]],[1]!tb_Vendas[Nº Contrato],0)),0)</f>
        <v>300000</v>
      </c>
      <c r="K187" s="21">
        <f>IFERROR(tb_Auditoria[[#This Row],[VALOR ESPERADO]] / tb_Auditoria[[#This Row],[VALOR CRÉDITO]], 0)</f>
        <v>0</v>
      </c>
      <c r="L187" s="19" t="e">
        <f>SUMIFS([1]!Motor_Comissão[Valor Previsto],[1]!Motor_Comissão[Chave], tb_Auditoria[[#This Row],[Nº CONTRATO]]&amp;"-"&amp;tb_Auditoria[[#This Row],[PARCELA ATUAL]])</f>
        <v>#REF!</v>
      </c>
      <c r="M187" s="19" t="e">
        <f>tb_Auditoria[[#This Row],[VALOR PAGO]] - tb_Auditoria[[#This Row],[VALOR ESPERADO]]</f>
        <v>#REF!</v>
      </c>
      <c r="N1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88" spans="1:15">
      <c r="A188" s="9">
        <v>1150447</v>
      </c>
      <c r="B188" s="10">
        <v>7</v>
      </c>
      <c r="C188" s="28">
        <v>1.856E-3</v>
      </c>
      <c r="D188" s="12">
        <f>tb_Auditoria[[#This Row],[% TAXA RELATÓRIO]]*tb_Auditoria[[#This Row],[VALOR CRÉDITO]]</f>
        <v>556.79999999999995</v>
      </c>
      <c r="E188" s="13">
        <v>46072</v>
      </c>
      <c r="F188" s="29" t="s">
        <v>16</v>
      </c>
      <c r="G18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8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88" s="19">
        <f>IFERROR(INDEX([1]!tb_Vendas[Crédito],MATCH(tb_Auditoria[[#This Row],[Nº CONTRATO]],[1]!tb_Vendas[Nº Contrato],0)),0)</f>
        <v>300000</v>
      </c>
      <c r="K188" s="21">
        <f>IFERROR(tb_Auditoria[[#This Row],[VALOR ESPERADO]] / tb_Auditoria[[#This Row],[VALOR CRÉDITO]], 0)</f>
        <v>0</v>
      </c>
      <c r="L188" s="19" t="e">
        <f>SUMIFS([1]!Motor_Comissão[Valor Previsto],[1]!Motor_Comissão[Chave], tb_Auditoria[[#This Row],[Nº CONTRATO]]&amp;"-"&amp;tb_Auditoria[[#This Row],[PARCELA ATUAL]])</f>
        <v>#REF!</v>
      </c>
      <c r="M188" s="19" t="e">
        <f>tb_Auditoria[[#This Row],[VALOR PAGO]] - tb_Auditoria[[#This Row],[VALOR ESPERADO]]</f>
        <v>#REF!</v>
      </c>
      <c r="N1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89" spans="1:15">
      <c r="A189" s="9">
        <v>1150448</v>
      </c>
      <c r="B189" s="10">
        <v>7</v>
      </c>
      <c r="C189" s="28">
        <v>1.856E-3</v>
      </c>
      <c r="D189" s="12">
        <f>tb_Auditoria[[#This Row],[% TAXA RELATÓRIO]]*tb_Auditoria[[#This Row],[VALOR CRÉDITO]]</f>
        <v>556.79999999999995</v>
      </c>
      <c r="E189" s="13">
        <v>46072</v>
      </c>
      <c r="F189" s="29" t="s">
        <v>16</v>
      </c>
      <c r="G18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8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8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89" s="19">
        <f>IFERROR(INDEX([1]!tb_Vendas[Crédito],MATCH(tb_Auditoria[[#This Row],[Nº CONTRATO]],[1]!tb_Vendas[Nº Contrato],0)),0)</f>
        <v>300000</v>
      </c>
      <c r="K189" s="21">
        <f>IFERROR(tb_Auditoria[[#This Row],[VALOR ESPERADO]] / tb_Auditoria[[#This Row],[VALOR CRÉDITO]], 0)</f>
        <v>0</v>
      </c>
      <c r="L189" s="19" t="e">
        <f>SUMIFS([1]!Motor_Comissão[Valor Previsto],[1]!Motor_Comissão[Chave], tb_Auditoria[[#This Row],[Nº CONTRATO]]&amp;"-"&amp;tb_Auditoria[[#This Row],[PARCELA ATUAL]])</f>
        <v>#REF!</v>
      </c>
      <c r="M189" s="19" t="e">
        <f>tb_Auditoria[[#This Row],[VALOR PAGO]] - tb_Auditoria[[#This Row],[VALOR ESPERADO]]</f>
        <v>#REF!</v>
      </c>
      <c r="N1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90" spans="1:15">
      <c r="A190" s="9">
        <v>1150449</v>
      </c>
      <c r="B190" s="10">
        <v>7</v>
      </c>
      <c r="C190" s="28">
        <v>1.856E-3</v>
      </c>
      <c r="D190" s="12">
        <f>tb_Auditoria[[#This Row],[% TAXA RELATÓRIO]]*tb_Auditoria[[#This Row],[VALOR CRÉDITO]]</f>
        <v>556.79999999999995</v>
      </c>
      <c r="E190" s="13">
        <v>46072</v>
      </c>
      <c r="F190" s="29" t="s">
        <v>16</v>
      </c>
      <c r="G19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9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90" s="19">
        <f>IFERROR(INDEX([1]!tb_Vendas[Crédito],MATCH(tb_Auditoria[[#This Row],[Nº CONTRATO]],[1]!tb_Vendas[Nº Contrato],0)),0)</f>
        <v>300000</v>
      </c>
      <c r="K190" s="21">
        <f>IFERROR(tb_Auditoria[[#This Row],[VALOR ESPERADO]] / tb_Auditoria[[#This Row],[VALOR CRÉDITO]], 0)</f>
        <v>0</v>
      </c>
      <c r="L190" s="19" t="e">
        <f>SUMIFS([1]!Motor_Comissão[Valor Previsto],[1]!Motor_Comissão[Chave], tb_Auditoria[[#This Row],[Nº CONTRATO]]&amp;"-"&amp;tb_Auditoria[[#This Row],[PARCELA ATUAL]])</f>
        <v>#REF!</v>
      </c>
      <c r="M190" s="19" t="e">
        <f>tb_Auditoria[[#This Row],[VALOR PAGO]] - tb_Auditoria[[#This Row],[VALOR ESPERADO]]</f>
        <v>#REF!</v>
      </c>
      <c r="N1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91" spans="1:15">
      <c r="A191" s="9">
        <v>1150451</v>
      </c>
      <c r="B191" s="10">
        <v>7</v>
      </c>
      <c r="C191" s="28">
        <v>1.856E-3</v>
      </c>
      <c r="D191" s="12">
        <f>tb_Auditoria[[#This Row],[% TAXA RELATÓRIO]]*tb_Auditoria[[#This Row],[VALOR CRÉDITO]]</f>
        <v>556.79999999999995</v>
      </c>
      <c r="E191" s="13">
        <v>46072</v>
      </c>
      <c r="F191" s="29" t="s">
        <v>16</v>
      </c>
      <c r="G19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9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91" s="19">
        <f>IFERROR(INDEX([1]!tb_Vendas[Crédito],MATCH(tb_Auditoria[[#This Row],[Nº CONTRATO]],[1]!tb_Vendas[Nº Contrato],0)),0)</f>
        <v>300000</v>
      </c>
      <c r="K191" s="21">
        <f>IFERROR(tb_Auditoria[[#This Row],[VALOR ESPERADO]] / tb_Auditoria[[#This Row],[VALOR CRÉDITO]], 0)</f>
        <v>0</v>
      </c>
      <c r="L191" s="19" t="e">
        <f>SUMIFS([1]!Motor_Comissão[Valor Previsto],[1]!Motor_Comissão[Chave], tb_Auditoria[[#This Row],[Nº CONTRATO]]&amp;"-"&amp;tb_Auditoria[[#This Row],[PARCELA ATUAL]])</f>
        <v>#REF!</v>
      </c>
      <c r="M191" s="19" t="e">
        <f>tb_Auditoria[[#This Row],[VALOR PAGO]] - tb_Auditoria[[#This Row],[VALOR ESPERADO]]</f>
        <v>#REF!</v>
      </c>
      <c r="N1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92" spans="1:15">
      <c r="A192" s="9">
        <v>1151051</v>
      </c>
      <c r="B192" s="10">
        <v>6</v>
      </c>
      <c r="C192" s="28">
        <v>5.1200000000000004E-3</v>
      </c>
      <c r="D192" s="12">
        <f>tb_Auditoria[[#This Row],[% TAXA RELATÓRIO]]*tb_Auditoria[[#This Row],[VALOR CRÉDITO]]</f>
        <v>3072.0000000000005</v>
      </c>
      <c r="E192" s="13">
        <v>46072</v>
      </c>
      <c r="F192" s="13" t="s">
        <v>16</v>
      </c>
      <c r="G19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CICERO TIMOTEO DE LIMA</v>
      </c>
      <c r="I19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CÍCERO</v>
      </c>
      <c r="J192" s="19">
        <f>IFERROR(INDEX([1]!tb_Vendas[Crédito],MATCH(tb_Auditoria[[#This Row],[Nº CONTRATO]],[1]!tb_Vendas[Nº Contrato],0)),0)</f>
        <v>600000</v>
      </c>
      <c r="K192" s="21">
        <f>IFERROR(tb_Auditoria[[#This Row],[VALOR ESPERADO]] / tb_Auditoria[[#This Row],[VALOR CRÉDITO]], 0)</f>
        <v>0</v>
      </c>
      <c r="L192" s="19" t="e">
        <f>SUMIFS([1]!Motor_Comissão[Valor Previsto],[1]!Motor_Comissão[Chave], tb_Auditoria[[#This Row],[Nº CONTRATO]]&amp;"-"&amp;tb_Auditoria[[#This Row],[PARCELA ATUAL]])</f>
        <v>#REF!</v>
      </c>
      <c r="M192" s="19" t="e">
        <f>tb_Auditoria[[#This Row],[VALOR PAGO]] - tb_Auditoria[[#This Row],[VALOR ESPERADO]]</f>
        <v>#REF!</v>
      </c>
      <c r="N1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193" spans="1:15">
      <c r="A193" s="9">
        <v>1150437</v>
      </c>
      <c r="B193" s="10">
        <v>8</v>
      </c>
      <c r="C193" s="28">
        <v>1.856E-3</v>
      </c>
      <c r="D193" s="12">
        <f>tb_Auditoria[[#This Row],[% TAXA RELATÓRIO]]*tb_Auditoria[[#This Row],[VALOR CRÉDITO]]</f>
        <v>556.79999999999995</v>
      </c>
      <c r="E193" s="13">
        <v>46100</v>
      </c>
      <c r="F193" s="13" t="s">
        <v>16</v>
      </c>
      <c r="G19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9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93" s="19">
        <f>IFERROR(INDEX([1]!tb_Vendas[Crédito],MATCH(tb_Auditoria[[#This Row],[Nº CONTRATO]],[1]!tb_Vendas[Nº Contrato],0)),0)</f>
        <v>300000</v>
      </c>
      <c r="K193" s="21">
        <f>IFERROR(tb_Auditoria[[#This Row],[VALOR ESPERADO]] / tb_Auditoria[[#This Row],[VALOR CRÉDITO]], 0)</f>
        <v>0</v>
      </c>
      <c r="L193" s="19" t="e">
        <f>SUMIFS([1]!Motor_Comissão[Valor Previsto],[1]!Motor_Comissão[Chave], tb_Auditoria[[#This Row],[Nº CONTRATO]]&amp;"-"&amp;tb_Auditoria[[#This Row],[PARCELA ATUAL]])</f>
        <v>#REF!</v>
      </c>
      <c r="M193" s="19" t="e">
        <f>tb_Auditoria[[#This Row],[VALOR PAGO]] - tb_Auditoria[[#This Row],[VALOR ESPERADO]]</f>
        <v>#REF!</v>
      </c>
      <c r="N1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94" spans="1:15">
      <c r="A194" s="9">
        <v>1150439</v>
      </c>
      <c r="B194" s="10">
        <v>8</v>
      </c>
      <c r="C194" s="28">
        <v>1.856E-3</v>
      </c>
      <c r="D194" s="12">
        <f>tb_Auditoria[[#This Row],[% TAXA RELATÓRIO]]*tb_Auditoria[[#This Row],[VALOR CRÉDITO]]</f>
        <v>556.79999999999995</v>
      </c>
      <c r="E194" s="13">
        <v>46100</v>
      </c>
      <c r="F194" s="13" t="s">
        <v>16</v>
      </c>
      <c r="G19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4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94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94" s="23">
        <f>IFERROR(INDEX([1]!tb_Vendas[Crédito],MATCH(tb_Auditoria[[#This Row],[Nº CONTRATO]],[1]!tb_Vendas[Nº Contrato],0)),0)</f>
        <v>300000</v>
      </c>
      <c r="K194" s="22">
        <f>IFERROR(tb_Auditoria[[#This Row],[VALOR ESPERADO]] / tb_Auditoria[[#This Row],[VALOR CRÉDITO]], 0)</f>
        <v>0</v>
      </c>
      <c r="L194" s="23" t="e">
        <f>SUMIFS([1]!Motor_Comissão[Valor Previsto],[1]!Motor_Comissão[Chave], tb_Auditoria[[#This Row],[Nº CONTRATO]]&amp;"-"&amp;tb_Auditoria[[#This Row],[PARCELA ATUAL]])</f>
        <v>#REF!</v>
      </c>
      <c r="M194" s="23" t="e">
        <f>tb_Auditoria[[#This Row],[VALOR PAGO]] - tb_Auditoria[[#This Row],[VALOR ESPERADO]]</f>
        <v>#REF!</v>
      </c>
      <c r="N194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4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95" spans="1:15">
      <c r="A195" s="9">
        <v>1150440</v>
      </c>
      <c r="B195" s="10">
        <v>8</v>
      </c>
      <c r="C195" s="28">
        <v>1.856E-3</v>
      </c>
      <c r="D195" s="12">
        <f>tb_Auditoria[[#This Row],[% TAXA RELATÓRIO]]*tb_Auditoria[[#This Row],[VALOR CRÉDITO]]</f>
        <v>556.79999999999995</v>
      </c>
      <c r="E195" s="13">
        <v>46100</v>
      </c>
      <c r="F195" s="13" t="s">
        <v>16</v>
      </c>
      <c r="G19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5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95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95" s="23">
        <f>IFERROR(INDEX([1]!tb_Vendas[Crédito],MATCH(tb_Auditoria[[#This Row],[Nº CONTRATO]],[1]!tb_Vendas[Nº Contrato],0)),0)</f>
        <v>300000</v>
      </c>
      <c r="K195" s="22">
        <f>IFERROR(tb_Auditoria[[#This Row],[VALOR ESPERADO]] / tb_Auditoria[[#This Row],[VALOR CRÉDITO]], 0)</f>
        <v>0</v>
      </c>
      <c r="L195" s="23" t="e">
        <f>SUMIFS([1]!Motor_Comissão[Valor Previsto],[1]!Motor_Comissão[Chave], tb_Auditoria[[#This Row],[Nº CONTRATO]]&amp;"-"&amp;tb_Auditoria[[#This Row],[PARCELA ATUAL]])</f>
        <v>#REF!</v>
      </c>
      <c r="M195" s="23" t="e">
        <f>tb_Auditoria[[#This Row],[VALOR PAGO]] - tb_Auditoria[[#This Row],[VALOR ESPERADO]]</f>
        <v>#REF!</v>
      </c>
      <c r="N195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5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96" spans="1:15">
      <c r="A196" s="9">
        <v>1150441</v>
      </c>
      <c r="B196" s="10">
        <v>8</v>
      </c>
      <c r="C196" s="28">
        <v>1.856E-3</v>
      </c>
      <c r="D196" s="12">
        <f>tb_Auditoria[[#This Row],[% TAXA RELATÓRIO]]*tb_Auditoria[[#This Row],[VALOR CRÉDITO]]</f>
        <v>556.79999999999995</v>
      </c>
      <c r="E196" s="13">
        <v>46100</v>
      </c>
      <c r="F196" s="13" t="s">
        <v>16</v>
      </c>
      <c r="G19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9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96" s="19">
        <f>IFERROR(INDEX([1]!tb_Vendas[Crédito],MATCH(tb_Auditoria[[#This Row],[Nº CONTRATO]],[1]!tb_Vendas[Nº Contrato],0)),0)</f>
        <v>300000</v>
      </c>
      <c r="K196" s="21">
        <f>IFERROR(tb_Auditoria[[#This Row],[VALOR ESPERADO]] / tb_Auditoria[[#This Row],[VALOR CRÉDITO]], 0)</f>
        <v>0</v>
      </c>
      <c r="L196" s="19" t="e">
        <f>SUMIFS([1]!Motor_Comissão[Valor Previsto],[1]!Motor_Comissão[Chave], tb_Auditoria[[#This Row],[Nº CONTRATO]]&amp;"-"&amp;tb_Auditoria[[#This Row],[PARCELA ATUAL]])</f>
        <v>#REF!</v>
      </c>
      <c r="M196" s="19" t="e">
        <f>tb_Auditoria[[#This Row],[VALOR PAGO]] - tb_Auditoria[[#This Row],[VALOR ESPERADO]]</f>
        <v>#REF!</v>
      </c>
      <c r="N1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97" spans="1:15">
      <c r="A197" s="9">
        <v>1150442</v>
      </c>
      <c r="B197" s="10">
        <v>8</v>
      </c>
      <c r="C197" s="28">
        <v>1.856E-3</v>
      </c>
      <c r="D197" s="12">
        <f>tb_Auditoria[[#This Row],[% TAXA RELATÓRIO]]*tb_Auditoria[[#This Row],[VALOR CRÉDITO]]</f>
        <v>556.79999999999995</v>
      </c>
      <c r="E197" s="13">
        <v>46100</v>
      </c>
      <c r="F197" s="13" t="s">
        <v>16</v>
      </c>
      <c r="G19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9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97" s="19">
        <f>IFERROR(INDEX([1]!tb_Vendas[Crédito],MATCH(tb_Auditoria[[#This Row],[Nº CONTRATO]],[1]!tb_Vendas[Nº Contrato],0)),0)</f>
        <v>300000</v>
      </c>
      <c r="K197" s="21">
        <f>IFERROR(tb_Auditoria[[#This Row],[VALOR ESPERADO]] / tb_Auditoria[[#This Row],[VALOR CRÉDITO]], 0)</f>
        <v>0</v>
      </c>
      <c r="L197" s="19" t="e">
        <f>SUMIFS([1]!Motor_Comissão[Valor Previsto],[1]!Motor_Comissão[Chave], tb_Auditoria[[#This Row],[Nº CONTRATO]]&amp;"-"&amp;tb_Auditoria[[#This Row],[PARCELA ATUAL]])</f>
        <v>#REF!</v>
      </c>
      <c r="M197" s="19" t="e">
        <f>tb_Auditoria[[#This Row],[VALOR PAGO]] - tb_Auditoria[[#This Row],[VALOR ESPERADO]]</f>
        <v>#REF!</v>
      </c>
      <c r="N1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98" spans="1:15">
      <c r="A198" s="9">
        <v>1150443</v>
      </c>
      <c r="B198" s="10">
        <v>8</v>
      </c>
      <c r="C198" s="28">
        <v>1.856E-3</v>
      </c>
      <c r="D198" s="12">
        <f>tb_Auditoria[[#This Row],[% TAXA RELATÓRIO]]*tb_Auditoria[[#This Row],[VALOR CRÉDITO]]</f>
        <v>556.79999999999995</v>
      </c>
      <c r="E198" s="13">
        <v>46100</v>
      </c>
      <c r="F198" s="13" t="s">
        <v>16</v>
      </c>
      <c r="G19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9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98" s="19">
        <f>IFERROR(INDEX([1]!tb_Vendas[Crédito],MATCH(tb_Auditoria[[#This Row],[Nº CONTRATO]],[1]!tb_Vendas[Nº Contrato],0)),0)</f>
        <v>300000</v>
      </c>
      <c r="K198" s="21">
        <f>IFERROR(tb_Auditoria[[#This Row],[VALOR ESPERADO]] / tb_Auditoria[[#This Row],[VALOR CRÉDITO]], 0)</f>
        <v>0</v>
      </c>
      <c r="L198" s="19" t="e">
        <f>SUMIFS([1]!Motor_Comissão[Valor Previsto],[1]!Motor_Comissão[Chave], tb_Auditoria[[#This Row],[Nº CONTRATO]]&amp;"-"&amp;tb_Auditoria[[#This Row],[PARCELA ATUAL]])</f>
        <v>#REF!</v>
      </c>
      <c r="M198" s="19" t="e">
        <f>tb_Auditoria[[#This Row],[VALOR PAGO]] - tb_Auditoria[[#This Row],[VALOR ESPERADO]]</f>
        <v>#REF!</v>
      </c>
      <c r="N1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99" spans="1:15">
      <c r="A199" s="9">
        <v>1150445</v>
      </c>
      <c r="B199" s="10">
        <v>8</v>
      </c>
      <c r="C199" s="28">
        <v>1.856E-3</v>
      </c>
      <c r="D199" s="12">
        <f>tb_Auditoria[[#This Row],[% TAXA RELATÓRIO]]*tb_Auditoria[[#This Row],[VALOR CRÉDITO]]</f>
        <v>556.79999999999995</v>
      </c>
      <c r="E199" s="13">
        <v>46100</v>
      </c>
      <c r="F199" s="13" t="s">
        <v>16</v>
      </c>
      <c r="G19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9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19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199" s="19">
        <f>IFERROR(INDEX([1]!tb_Vendas[Crédito],MATCH(tb_Auditoria[[#This Row],[Nº CONTRATO]],[1]!tb_Vendas[Nº Contrato],0)),0)</f>
        <v>300000</v>
      </c>
      <c r="K199" s="21">
        <f>IFERROR(tb_Auditoria[[#This Row],[VALOR ESPERADO]] / tb_Auditoria[[#This Row],[VALOR CRÉDITO]], 0)</f>
        <v>0</v>
      </c>
      <c r="L199" s="19" t="e">
        <f>SUMIFS([1]!Motor_Comissão[Valor Previsto],[1]!Motor_Comissão[Chave], tb_Auditoria[[#This Row],[Nº CONTRATO]]&amp;"-"&amp;tb_Auditoria[[#This Row],[PARCELA ATUAL]])</f>
        <v>#REF!</v>
      </c>
      <c r="M199" s="19" t="e">
        <f>tb_Auditoria[[#This Row],[VALOR PAGO]] - tb_Auditoria[[#This Row],[VALOR ESPERADO]]</f>
        <v>#REF!</v>
      </c>
      <c r="N1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0" spans="1:15">
      <c r="A200" s="9">
        <v>1150446</v>
      </c>
      <c r="B200" s="10">
        <v>8</v>
      </c>
      <c r="C200" s="28">
        <v>1.856E-3</v>
      </c>
      <c r="D200" s="12">
        <f>tb_Auditoria[[#This Row],[% TAXA RELATÓRIO]]*tb_Auditoria[[#This Row],[VALOR CRÉDITO]]</f>
        <v>556.79999999999995</v>
      </c>
      <c r="E200" s="13">
        <v>46100</v>
      </c>
      <c r="F200" s="13" t="s">
        <v>16</v>
      </c>
      <c r="G20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0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00" s="19">
        <f>IFERROR(INDEX([1]!tb_Vendas[Crédito],MATCH(tb_Auditoria[[#This Row],[Nº CONTRATO]],[1]!tb_Vendas[Nº Contrato],0)),0)</f>
        <v>300000</v>
      </c>
      <c r="K200" s="21">
        <f>IFERROR(tb_Auditoria[[#This Row],[VALOR ESPERADO]] / tb_Auditoria[[#This Row],[VALOR CRÉDITO]], 0)</f>
        <v>0</v>
      </c>
      <c r="L200" s="19" t="e">
        <f>SUMIFS([1]!Motor_Comissão[Valor Previsto],[1]!Motor_Comissão[Chave], tb_Auditoria[[#This Row],[Nº CONTRATO]]&amp;"-"&amp;tb_Auditoria[[#This Row],[PARCELA ATUAL]])</f>
        <v>#REF!</v>
      </c>
      <c r="M200" s="19" t="e">
        <f>tb_Auditoria[[#This Row],[VALOR PAGO]] - tb_Auditoria[[#This Row],[VALOR ESPERADO]]</f>
        <v>#REF!</v>
      </c>
      <c r="N2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1" spans="1:15">
      <c r="A201" s="9">
        <v>1150447</v>
      </c>
      <c r="B201" s="10">
        <v>8</v>
      </c>
      <c r="C201" s="28">
        <v>1.856E-3</v>
      </c>
      <c r="D201" s="12">
        <f>tb_Auditoria[[#This Row],[% TAXA RELATÓRIO]]*tb_Auditoria[[#This Row],[VALOR CRÉDITO]]</f>
        <v>556.79999999999995</v>
      </c>
      <c r="E201" s="13">
        <v>46100</v>
      </c>
      <c r="F201" s="13" t="s">
        <v>16</v>
      </c>
      <c r="G20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0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01" s="19">
        <f>IFERROR(INDEX([1]!tb_Vendas[Crédito],MATCH(tb_Auditoria[[#This Row],[Nº CONTRATO]],[1]!tb_Vendas[Nº Contrato],0)),0)</f>
        <v>300000</v>
      </c>
      <c r="K201" s="21">
        <f>IFERROR(tb_Auditoria[[#This Row],[VALOR ESPERADO]] / tb_Auditoria[[#This Row],[VALOR CRÉDITO]], 0)</f>
        <v>0</v>
      </c>
      <c r="L201" s="19" t="e">
        <f>SUMIFS([1]!Motor_Comissão[Valor Previsto],[1]!Motor_Comissão[Chave], tb_Auditoria[[#This Row],[Nº CONTRATO]]&amp;"-"&amp;tb_Auditoria[[#This Row],[PARCELA ATUAL]])</f>
        <v>#REF!</v>
      </c>
      <c r="M201" s="19" t="e">
        <f>tb_Auditoria[[#This Row],[VALOR PAGO]] - tb_Auditoria[[#This Row],[VALOR ESPERADO]]</f>
        <v>#REF!</v>
      </c>
      <c r="N2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2" spans="1:15">
      <c r="A202" s="9">
        <v>1150448</v>
      </c>
      <c r="B202" s="10">
        <v>8</v>
      </c>
      <c r="C202" s="28">
        <v>1.856E-3</v>
      </c>
      <c r="D202" s="12">
        <f>tb_Auditoria[[#This Row],[% TAXA RELATÓRIO]]*tb_Auditoria[[#This Row],[VALOR CRÉDITO]]</f>
        <v>556.79999999999995</v>
      </c>
      <c r="E202" s="13">
        <v>46100</v>
      </c>
      <c r="F202" s="13" t="s">
        <v>16</v>
      </c>
      <c r="G20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0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02" s="19">
        <f>IFERROR(INDEX([1]!tb_Vendas[Crédito],MATCH(tb_Auditoria[[#This Row],[Nº CONTRATO]],[1]!tb_Vendas[Nº Contrato],0)),0)</f>
        <v>300000</v>
      </c>
      <c r="K202" s="21">
        <f>IFERROR(tb_Auditoria[[#This Row],[VALOR ESPERADO]] / tb_Auditoria[[#This Row],[VALOR CRÉDITO]], 0)</f>
        <v>0</v>
      </c>
      <c r="L202" s="19" t="e">
        <f>SUMIFS([1]!Motor_Comissão[Valor Previsto],[1]!Motor_Comissão[Chave], tb_Auditoria[[#This Row],[Nº CONTRATO]]&amp;"-"&amp;tb_Auditoria[[#This Row],[PARCELA ATUAL]])</f>
        <v>#REF!</v>
      </c>
      <c r="M202" s="19" t="e">
        <f>tb_Auditoria[[#This Row],[VALOR PAGO]] - tb_Auditoria[[#This Row],[VALOR ESPERADO]]</f>
        <v>#REF!</v>
      </c>
      <c r="N2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3" spans="1:15">
      <c r="A203" s="9">
        <v>1150449</v>
      </c>
      <c r="B203" s="10">
        <v>8</v>
      </c>
      <c r="C203" s="28">
        <v>1.856E-3</v>
      </c>
      <c r="D203" s="12">
        <f>tb_Auditoria[[#This Row],[% TAXA RELATÓRIO]]*tb_Auditoria[[#This Row],[VALOR CRÉDITO]]</f>
        <v>556.79999999999995</v>
      </c>
      <c r="E203" s="13">
        <v>46100</v>
      </c>
      <c r="F203" s="13" t="s">
        <v>16</v>
      </c>
      <c r="G20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0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03" s="19">
        <f>IFERROR(INDEX([1]!tb_Vendas[Crédito],MATCH(tb_Auditoria[[#This Row],[Nº CONTRATO]],[1]!tb_Vendas[Nº Contrato],0)),0)</f>
        <v>300000</v>
      </c>
      <c r="K203" s="21">
        <f>IFERROR(tb_Auditoria[[#This Row],[VALOR ESPERADO]] / tb_Auditoria[[#This Row],[VALOR CRÉDITO]], 0)</f>
        <v>0</v>
      </c>
      <c r="L203" s="19" t="e">
        <f>SUMIFS([1]!Motor_Comissão[Valor Previsto],[1]!Motor_Comissão[Chave], tb_Auditoria[[#This Row],[Nº CONTRATO]]&amp;"-"&amp;tb_Auditoria[[#This Row],[PARCELA ATUAL]])</f>
        <v>#REF!</v>
      </c>
      <c r="M203" s="19" t="e">
        <f>tb_Auditoria[[#This Row],[VALOR PAGO]] - tb_Auditoria[[#This Row],[VALOR ESPERADO]]</f>
        <v>#REF!</v>
      </c>
      <c r="N2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4" spans="1:15">
      <c r="A204" s="9">
        <v>1150451</v>
      </c>
      <c r="B204" s="10">
        <v>8</v>
      </c>
      <c r="C204" s="28">
        <v>1.856E-3</v>
      </c>
      <c r="D204" s="12">
        <f>tb_Auditoria[[#This Row],[% TAXA RELATÓRIO]]*tb_Auditoria[[#This Row],[VALOR CRÉDITO]]</f>
        <v>556.79999999999995</v>
      </c>
      <c r="E204" s="13">
        <v>46100</v>
      </c>
      <c r="F204" s="13" t="s">
        <v>16</v>
      </c>
      <c r="G20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0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04" s="19">
        <f>IFERROR(INDEX([1]!tb_Vendas[Crédito],MATCH(tb_Auditoria[[#This Row],[Nº CONTRATO]],[1]!tb_Vendas[Nº Contrato],0)),0)</f>
        <v>300000</v>
      </c>
      <c r="K204" s="21">
        <f>IFERROR(tb_Auditoria[[#This Row],[VALOR ESPERADO]] / tb_Auditoria[[#This Row],[VALOR CRÉDITO]], 0)</f>
        <v>0</v>
      </c>
      <c r="L204" s="19" t="e">
        <f>SUMIFS([1]!Motor_Comissão[Valor Previsto],[1]!Motor_Comissão[Chave], tb_Auditoria[[#This Row],[Nº CONTRATO]]&amp;"-"&amp;tb_Auditoria[[#This Row],[PARCELA ATUAL]])</f>
        <v>#REF!</v>
      </c>
      <c r="M204" s="19" t="e">
        <f>tb_Auditoria[[#This Row],[VALOR PAGO]] - tb_Auditoria[[#This Row],[VALOR ESPERADO]]</f>
        <v>#REF!</v>
      </c>
      <c r="N2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5" spans="1:15">
      <c r="A205" s="9">
        <v>1150437</v>
      </c>
      <c r="B205" s="10">
        <v>9</v>
      </c>
      <c r="C205" s="28">
        <v>1.856E-3</v>
      </c>
      <c r="D205" s="12">
        <f>tb_Auditoria[[#This Row],[% TAXA RELATÓRIO]]*tb_Auditoria[[#This Row],[VALOR CRÉDITO]]</f>
        <v>556.79999999999995</v>
      </c>
      <c r="E205" s="13">
        <v>46129</v>
      </c>
      <c r="F205" s="13" t="s">
        <v>16</v>
      </c>
      <c r="G20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0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05" s="19">
        <f>IFERROR(INDEX([1]!tb_Vendas[Crédito],MATCH(tb_Auditoria[[#This Row],[Nº CONTRATO]],[1]!tb_Vendas[Nº Contrato],0)),0)</f>
        <v>300000</v>
      </c>
      <c r="K205" s="21">
        <f>IFERROR(tb_Auditoria[[#This Row],[VALOR ESPERADO]] / tb_Auditoria[[#This Row],[VALOR CRÉDITO]], 0)</f>
        <v>0</v>
      </c>
      <c r="L205" s="19" t="e">
        <f>SUMIFS([1]!Motor_Comissão[Valor Previsto],[1]!Motor_Comissão[Chave], tb_Auditoria[[#This Row],[Nº CONTRATO]]&amp;"-"&amp;tb_Auditoria[[#This Row],[PARCELA ATUAL]])</f>
        <v>#REF!</v>
      </c>
      <c r="M205" s="19" t="e">
        <f>tb_Auditoria[[#This Row],[VALOR PAGO]] - tb_Auditoria[[#This Row],[VALOR ESPERADO]]</f>
        <v>#REF!</v>
      </c>
      <c r="N2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6" spans="1:15">
      <c r="A206" s="9">
        <v>1150439</v>
      </c>
      <c r="B206" s="10">
        <v>9</v>
      </c>
      <c r="C206" s="28">
        <v>1.856E-3</v>
      </c>
      <c r="D206" s="12">
        <f>tb_Auditoria[[#This Row],[% TAXA RELATÓRIO]]*tb_Auditoria[[#This Row],[VALOR CRÉDITO]]</f>
        <v>556.79999999999995</v>
      </c>
      <c r="E206" s="13">
        <v>46129</v>
      </c>
      <c r="F206" s="13" t="s">
        <v>16</v>
      </c>
      <c r="G20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0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06" s="19">
        <f>IFERROR(INDEX([1]!tb_Vendas[Crédito],MATCH(tb_Auditoria[[#This Row],[Nº CONTRATO]],[1]!tb_Vendas[Nº Contrato],0)),0)</f>
        <v>300000</v>
      </c>
      <c r="K206" s="21">
        <f>IFERROR(tb_Auditoria[[#This Row],[VALOR ESPERADO]] / tb_Auditoria[[#This Row],[VALOR CRÉDITO]], 0)</f>
        <v>0</v>
      </c>
      <c r="L206" s="19" t="e">
        <f>SUMIFS([1]!Motor_Comissão[Valor Previsto],[1]!Motor_Comissão[Chave], tb_Auditoria[[#This Row],[Nº CONTRATO]]&amp;"-"&amp;tb_Auditoria[[#This Row],[PARCELA ATUAL]])</f>
        <v>#REF!</v>
      </c>
      <c r="M206" s="19" t="e">
        <f>tb_Auditoria[[#This Row],[VALOR PAGO]] - tb_Auditoria[[#This Row],[VALOR ESPERADO]]</f>
        <v>#REF!</v>
      </c>
      <c r="N2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7" spans="1:15">
      <c r="A207" s="9">
        <v>1150440</v>
      </c>
      <c r="B207" s="10">
        <v>9</v>
      </c>
      <c r="C207" s="28">
        <v>1.856E-3</v>
      </c>
      <c r="D207" s="12">
        <f>tb_Auditoria[[#This Row],[% TAXA RELATÓRIO]]*tb_Auditoria[[#This Row],[VALOR CRÉDITO]]</f>
        <v>556.79999999999995</v>
      </c>
      <c r="E207" s="13">
        <v>46129</v>
      </c>
      <c r="F207" s="13" t="s">
        <v>16</v>
      </c>
      <c r="G20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0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07" s="19">
        <f>IFERROR(INDEX([1]!tb_Vendas[Crédito],MATCH(tb_Auditoria[[#This Row],[Nº CONTRATO]],[1]!tb_Vendas[Nº Contrato],0)),0)</f>
        <v>300000</v>
      </c>
      <c r="K207" s="21">
        <f>IFERROR(tb_Auditoria[[#This Row],[VALOR ESPERADO]] / tb_Auditoria[[#This Row],[VALOR CRÉDITO]], 0)</f>
        <v>0</v>
      </c>
      <c r="L207" s="19" t="e">
        <f>SUMIFS([1]!Motor_Comissão[Valor Previsto],[1]!Motor_Comissão[Chave], tb_Auditoria[[#This Row],[Nº CONTRATO]]&amp;"-"&amp;tb_Auditoria[[#This Row],[PARCELA ATUAL]])</f>
        <v>#REF!</v>
      </c>
      <c r="M207" s="19" t="e">
        <f>tb_Auditoria[[#This Row],[VALOR PAGO]] - tb_Auditoria[[#This Row],[VALOR ESPERADO]]</f>
        <v>#REF!</v>
      </c>
      <c r="N2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8" spans="1:15">
      <c r="A208" s="9">
        <v>1150441</v>
      </c>
      <c r="B208" s="10">
        <v>9</v>
      </c>
      <c r="C208" s="28">
        <v>1.856E-3</v>
      </c>
      <c r="D208" s="12">
        <f>tb_Auditoria[[#This Row],[% TAXA RELATÓRIO]]*tb_Auditoria[[#This Row],[VALOR CRÉDITO]]</f>
        <v>556.79999999999995</v>
      </c>
      <c r="E208" s="13">
        <v>46129</v>
      </c>
      <c r="F208" s="13" t="s">
        <v>16</v>
      </c>
      <c r="G20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0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08" s="19">
        <f>IFERROR(INDEX([1]!tb_Vendas[Crédito],MATCH(tb_Auditoria[[#This Row],[Nº CONTRATO]],[1]!tb_Vendas[Nº Contrato],0)),0)</f>
        <v>300000</v>
      </c>
      <c r="K208" s="21">
        <f>IFERROR(tb_Auditoria[[#This Row],[VALOR ESPERADO]] / tb_Auditoria[[#This Row],[VALOR CRÉDITO]], 0)</f>
        <v>0</v>
      </c>
      <c r="L208" s="19" t="e">
        <f>SUMIFS([1]!Motor_Comissão[Valor Previsto],[1]!Motor_Comissão[Chave], tb_Auditoria[[#This Row],[Nº CONTRATO]]&amp;"-"&amp;tb_Auditoria[[#This Row],[PARCELA ATUAL]])</f>
        <v>#REF!</v>
      </c>
      <c r="M208" s="19" t="e">
        <f>tb_Auditoria[[#This Row],[VALOR PAGO]] - tb_Auditoria[[#This Row],[VALOR ESPERADO]]</f>
        <v>#REF!</v>
      </c>
      <c r="N2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09" spans="1:15">
      <c r="A209" s="9">
        <v>1150442</v>
      </c>
      <c r="B209" s="10">
        <v>9</v>
      </c>
      <c r="C209" s="28">
        <v>1.856E-3</v>
      </c>
      <c r="D209" s="12">
        <f>tb_Auditoria[[#This Row],[% TAXA RELATÓRIO]]*tb_Auditoria[[#This Row],[VALOR CRÉDITO]]</f>
        <v>556.79999999999995</v>
      </c>
      <c r="E209" s="13">
        <v>46129</v>
      </c>
      <c r="F209" s="13" t="s">
        <v>16</v>
      </c>
      <c r="G20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0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0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09" s="19">
        <f>IFERROR(INDEX([1]!tb_Vendas[Crédito],MATCH(tb_Auditoria[[#This Row],[Nº CONTRATO]],[1]!tb_Vendas[Nº Contrato],0)),0)</f>
        <v>300000</v>
      </c>
      <c r="K209" s="21">
        <f>IFERROR(tb_Auditoria[[#This Row],[VALOR ESPERADO]] / tb_Auditoria[[#This Row],[VALOR CRÉDITO]], 0)</f>
        <v>0</v>
      </c>
      <c r="L209" s="19" t="e">
        <f>SUMIFS([1]!Motor_Comissão[Valor Previsto],[1]!Motor_Comissão[Chave], tb_Auditoria[[#This Row],[Nº CONTRATO]]&amp;"-"&amp;tb_Auditoria[[#This Row],[PARCELA ATUAL]])</f>
        <v>#REF!</v>
      </c>
      <c r="M209" s="19" t="e">
        <f>tb_Auditoria[[#This Row],[VALOR PAGO]] - tb_Auditoria[[#This Row],[VALOR ESPERADO]]</f>
        <v>#REF!</v>
      </c>
      <c r="N2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0" spans="1:15">
      <c r="A210" s="9">
        <v>1150443</v>
      </c>
      <c r="B210" s="10">
        <v>9</v>
      </c>
      <c r="C210" s="28">
        <v>1.856E-3</v>
      </c>
      <c r="D210" s="12">
        <f>tb_Auditoria[[#This Row],[% TAXA RELATÓRIO]]*tb_Auditoria[[#This Row],[VALOR CRÉDITO]]</f>
        <v>556.79999999999995</v>
      </c>
      <c r="E210" s="13">
        <v>46129</v>
      </c>
      <c r="F210" s="13" t="s">
        <v>16</v>
      </c>
      <c r="G21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1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10" s="19">
        <f>IFERROR(INDEX([1]!tb_Vendas[Crédito],MATCH(tb_Auditoria[[#This Row],[Nº CONTRATO]],[1]!tb_Vendas[Nº Contrato],0)),0)</f>
        <v>300000</v>
      </c>
      <c r="K210" s="21">
        <f>IFERROR(tb_Auditoria[[#This Row],[VALOR ESPERADO]] / tb_Auditoria[[#This Row],[VALOR CRÉDITO]], 0)</f>
        <v>0</v>
      </c>
      <c r="L210" s="19" t="e">
        <f>SUMIFS([1]!Motor_Comissão[Valor Previsto],[1]!Motor_Comissão[Chave], tb_Auditoria[[#This Row],[Nº CONTRATO]]&amp;"-"&amp;tb_Auditoria[[#This Row],[PARCELA ATUAL]])</f>
        <v>#REF!</v>
      </c>
      <c r="M210" s="19" t="e">
        <f>tb_Auditoria[[#This Row],[VALOR PAGO]] - tb_Auditoria[[#This Row],[VALOR ESPERADO]]</f>
        <v>#REF!</v>
      </c>
      <c r="N2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1" spans="1:15">
      <c r="A211" s="9">
        <v>1150445</v>
      </c>
      <c r="B211" s="10">
        <v>9</v>
      </c>
      <c r="C211" s="28">
        <v>1.856E-3</v>
      </c>
      <c r="D211" s="12">
        <f>tb_Auditoria[[#This Row],[% TAXA RELATÓRIO]]*tb_Auditoria[[#This Row],[VALOR CRÉDITO]]</f>
        <v>556.79999999999995</v>
      </c>
      <c r="E211" s="13">
        <v>46129</v>
      </c>
      <c r="F211" s="13" t="s">
        <v>16</v>
      </c>
      <c r="G21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1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11" s="19">
        <f>IFERROR(INDEX([1]!tb_Vendas[Crédito],MATCH(tb_Auditoria[[#This Row],[Nº CONTRATO]],[1]!tb_Vendas[Nº Contrato],0)),0)</f>
        <v>300000</v>
      </c>
      <c r="K211" s="21">
        <f>IFERROR(tb_Auditoria[[#This Row],[VALOR ESPERADO]] / tb_Auditoria[[#This Row],[VALOR CRÉDITO]], 0)</f>
        <v>0</v>
      </c>
      <c r="L211" s="19" t="e">
        <f>SUMIFS([1]!Motor_Comissão[Valor Previsto],[1]!Motor_Comissão[Chave], tb_Auditoria[[#This Row],[Nº CONTRATO]]&amp;"-"&amp;tb_Auditoria[[#This Row],[PARCELA ATUAL]])</f>
        <v>#REF!</v>
      </c>
      <c r="M211" s="19" t="e">
        <f>tb_Auditoria[[#This Row],[VALOR PAGO]] - tb_Auditoria[[#This Row],[VALOR ESPERADO]]</f>
        <v>#REF!</v>
      </c>
      <c r="N2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2" spans="1:15">
      <c r="A212" s="9">
        <v>1150446</v>
      </c>
      <c r="B212" s="10">
        <v>9</v>
      </c>
      <c r="C212" s="28">
        <v>1.856E-3</v>
      </c>
      <c r="D212" s="12">
        <f>tb_Auditoria[[#This Row],[% TAXA RELATÓRIO]]*tb_Auditoria[[#This Row],[VALOR CRÉDITO]]</f>
        <v>556.79999999999995</v>
      </c>
      <c r="E212" s="13">
        <v>46129</v>
      </c>
      <c r="F212" s="13" t="s">
        <v>16</v>
      </c>
      <c r="G21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1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12" s="19">
        <f>IFERROR(INDEX([1]!tb_Vendas[Crédito],MATCH(tb_Auditoria[[#This Row],[Nº CONTRATO]],[1]!tb_Vendas[Nº Contrato],0)),0)</f>
        <v>300000</v>
      </c>
      <c r="K212" s="21">
        <f>IFERROR(tb_Auditoria[[#This Row],[VALOR ESPERADO]] / tb_Auditoria[[#This Row],[VALOR CRÉDITO]], 0)</f>
        <v>0</v>
      </c>
      <c r="L212" s="19" t="e">
        <f>SUMIFS([1]!Motor_Comissão[Valor Previsto],[1]!Motor_Comissão[Chave], tb_Auditoria[[#This Row],[Nº CONTRATO]]&amp;"-"&amp;tb_Auditoria[[#This Row],[PARCELA ATUAL]])</f>
        <v>#REF!</v>
      </c>
      <c r="M212" s="19" t="e">
        <f>tb_Auditoria[[#This Row],[VALOR PAGO]] - tb_Auditoria[[#This Row],[VALOR ESPERADO]]</f>
        <v>#REF!</v>
      </c>
      <c r="N2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3" spans="1:15">
      <c r="A213" s="9">
        <v>1150447</v>
      </c>
      <c r="B213" s="10">
        <v>9</v>
      </c>
      <c r="C213" s="28">
        <v>1.856E-3</v>
      </c>
      <c r="D213" s="12">
        <f>tb_Auditoria[[#This Row],[% TAXA RELATÓRIO]]*tb_Auditoria[[#This Row],[VALOR CRÉDITO]]</f>
        <v>556.79999999999995</v>
      </c>
      <c r="E213" s="13">
        <v>46129</v>
      </c>
      <c r="F213" s="13" t="s">
        <v>16</v>
      </c>
      <c r="G21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1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13" s="19">
        <f>IFERROR(INDEX([1]!tb_Vendas[Crédito],MATCH(tb_Auditoria[[#This Row],[Nº CONTRATO]],[1]!tb_Vendas[Nº Contrato],0)),0)</f>
        <v>300000</v>
      </c>
      <c r="K213" s="21">
        <f>IFERROR(tb_Auditoria[[#This Row],[VALOR ESPERADO]] / tb_Auditoria[[#This Row],[VALOR CRÉDITO]], 0)</f>
        <v>0</v>
      </c>
      <c r="L213" s="19" t="e">
        <f>SUMIFS([1]!Motor_Comissão[Valor Previsto],[1]!Motor_Comissão[Chave], tb_Auditoria[[#This Row],[Nº CONTRATO]]&amp;"-"&amp;tb_Auditoria[[#This Row],[PARCELA ATUAL]])</f>
        <v>#REF!</v>
      </c>
      <c r="M213" s="19" t="e">
        <f>tb_Auditoria[[#This Row],[VALOR PAGO]] - tb_Auditoria[[#This Row],[VALOR ESPERADO]]</f>
        <v>#REF!</v>
      </c>
      <c r="N2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4" spans="1:15">
      <c r="A214" s="9">
        <v>1150448</v>
      </c>
      <c r="B214" s="10">
        <v>9</v>
      </c>
      <c r="C214" s="28">
        <v>1.856E-3</v>
      </c>
      <c r="D214" s="12">
        <f>tb_Auditoria[[#This Row],[% TAXA RELATÓRIO]]*tb_Auditoria[[#This Row],[VALOR CRÉDITO]]</f>
        <v>556.79999999999995</v>
      </c>
      <c r="E214" s="13">
        <v>46129</v>
      </c>
      <c r="F214" s="13" t="s">
        <v>16</v>
      </c>
      <c r="G21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1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14" s="19">
        <f>IFERROR(INDEX([1]!tb_Vendas[Crédito],MATCH(tb_Auditoria[[#This Row],[Nº CONTRATO]],[1]!tb_Vendas[Nº Contrato],0)),0)</f>
        <v>300000</v>
      </c>
      <c r="K214" s="21">
        <f>IFERROR(tb_Auditoria[[#This Row],[VALOR ESPERADO]] / tb_Auditoria[[#This Row],[VALOR CRÉDITO]], 0)</f>
        <v>0</v>
      </c>
      <c r="L214" s="19" t="e">
        <f>SUMIFS([1]!Motor_Comissão[Valor Previsto],[1]!Motor_Comissão[Chave], tb_Auditoria[[#This Row],[Nº CONTRATO]]&amp;"-"&amp;tb_Auditoria[[#This Row],[PARCELA ATUAL]])</f>
        <v>#REF!</v>
      </c>
      <c r="M214" s="19" t="e">
        <f>tb_Auditoria[[#This Row],[VALOR PAGO]] - tb_Auditoria[[#This Row],[VALOR ESPERADO]]</f>
        <v>#REF!</v>
      </c>
      <c r="N2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5" spans="1:15">
      <c r="A215" s="9">
        <v>1150449</v>
      </c>
      <c r="B215" s="10">
        <v>9</v>
      </c>
      <c r="C215" s="28">
        <v>1.856E-3</v>
      </c>
      <c r="D215" s="12">
        <f>tb_Auditoria[[#This Row],[% TAXA RELATÓRIO]]*tb_Auditoria[[#This Row],[VALOR CRÉDITO]]</f>
        <v>556.79999999999995</v>
      </c>
      <c r="E215" s="13">
        <v>46129</v>
      </c>
      <c r="F215" s="13" t="s">
        <v>16</v>
      </c>
      <c r="G21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1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15" s="19">
        <f>IFERROR(INDEX([1]!tb_Vendas[Crédito],MATCH(tb_Auditoria[[#This Row],[Nº CONTRATO]],[1]!tb_Vendas[Nº Contrato],0)),0)</f>
        <v>300000</v>
      </c>
      <c r="K215" s="21">
        <f>IFERROR(tb_Auditoria[[#This Row],[VALOR ESPERADO]] / tb_Auditoria[[#This Row],[VALOR CRÉDITO]], 0)</f>
        <v>0</v>
      </c>
      <c r="L215" s="19" t="e">
        <f>SUMIFS([1]!Motor_Comissão[Valor Previsto],[1]!Motor_Comissão[Chave], tb_Auditoria[[#This Row],[Nº CONTRATO]]&amp;"-"&amp;tb_Auditoria[[#This Row],[PARCELA ATUAL]])</f>
        <v>#REF!</v>
      </c>
      <c r="M215" s="19" t="e">
        <f>tb_Auditoria[[#This Row],[VALOR PAGO]] - tb_Auditoria[[#This Row],[VALOR ESPERADO]]</f>
        <v>#REF!</v>
      </c>
      <c r="N2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6" spans="1:15">
      <c r="A216" s="9">
        <v>1150451</v>
      </c>
      <c r="B216" s="10">
        <v>9</v>
      </c>
      <c r="C216" s="28">
        <v>1.856E-3</v>
      </c>
      <c r="D216" s="12">
        <f>tb_Auditoria[[#This Row],[% TAXA RELATÓRIO]]*tb_Auditoria[[#This Row],[VALOR CRÉDITO]]</f>
        <v>556.79999999999995</v>
      </c>
      <c r="E216" s="13">
        <v>46129</v>
      </c>
      <c r="F216" s="13" t="s">
        <v>16</v>
      </c>
      <c r="G21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1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16" s="19">
        <f>IFERROR(INDEX([1]!tb_Vendas[Crédito],MATCH(tb_Auditoria[[#This Row],[Nº CONTRATO]],[1]!tb_Vendas[Nº Contrato],0)),0)</f>
        <v>300000</v>
      </c>
      <c r="K216" s="21">
        <f>IFERROR(tb_Auditoria[[#This Row],[VALOR ESPERADO]] / tb_Auditoria[[#This Row],[VALOR CRÉDITO]], 0)</f>
        <v>0</v>
      </c>
      <c r="L216" s="19" t="e">
        <f>SUMIFS([1]!Motor_Comissão[Valor Previsto],[1]!Motor_Comissão[Chave], tb_Auditoria[[#This Row],[Nº CONTRATO]]&amp;"-"&amp;tb_Auditoria[[#This Row],[PARCELA ATUAL]])</f>
        <v>#REF!</v>
      </c>
      <c r="M216" s="19" t="e">
        <f>tb_Auditoria[[#This Row],[VALOR PAGO]] - tb_Auditoria[[#This Row],[VALOR ESPERADO]]</f>
        <v>#REF!</v>
      </c>
      <c r="N2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7" spans="1:15">
      <c r="A217" s="9">
        <v>1150437</v>
      </c>
      <c r="B217" s="10">
        <v>10</v>
      </c>
      <c r="C217" s="28">
        <v>1.856E-3</v>
      </c>
      <c r="D217" s="12">
        <f>tb_Auditoria[[#This Row],[% TAXA RELATÓRIO]]*tb_Auditoria[[#This Row],[VALOR CRÉDITO]]</f>
        <v>556.79999999999995</v>
      </c>
      <c r="E217" s="13">
        <v>46161</v>
      </c>
      <c r="F217" s="13" t="s">
        <v>16</v>
      </c>
      <c r="G21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1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17" s="19">
        <f>IFERROR(INDEX([1]!tb_Vendas[Crédito],MATCH(tb_Auditoria[[#This Row],[Nº CONTRATO]],[1]!tb_Vendas[Nº Contrato],0)),0)</f>
        <v>300000</v>
      </c>
      <c r="K217" s="21">
        <f>IFERROR(tb_Auditoria[[#This Row],[VALOR ESPERADO]] / tb_Auditoria[[#This Row],[VALOR CRÉDITO]], 0)</f>
        <v>0</v>
      </c>
      <c r="L217" s="19" t="e">
        <f>SUMIFS([1]!Motor_Comissão[Valor Previsto],[1]!Motor_Comissão[Chave], tb_Auditoria[[#This Row],[Nº CONTRATO]]&amp;"-"&amp;tb_Auditoria[[#This Row],[PARCELA ATUAL]])</f>
        <v>#REF!</v>
      </c>
      <c r="M217" s="19" t="e">
        <f>tb_Auditoria[[#This Row],[VALOR PAGO]] - tb_Auditoria[[#This Row],[VALOR ESPERADO]]</f>
        <v>#REF!</v>
      </c>
      <c r="N2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8" spans="1:15">
      <c r="A218" s="9">
        <v>1150439</v>
      </c>
      <c r="B218" s="10">
        <v>10</v>
      </c>
      <c r="C218" s="28">
        <v>1.856E-3</v>
      </c>
      <c r="D218" s="12">
        <f>tb_Auditoria[[#This Row],[% TAXA RELATÓRIO]]*tb_Auditoria[[#This Row],[VALOR CRÉDITO]]</f>
        <v>556.79999999999995</v>
      </c>
      <c r="E218" s="13">
        <v>46161</v>
      </c>
      <c r="F218" s="13" t="s">
        <v>16</v>
      </c>
      <c r="G21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1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18" s="19">
        <f>IFERROR(INDEX([1]!tb_Vendas[Crédito],MATCH(tb_Auditoria[[#This Row],[Nº CONTRATO]],[1]!tb_Vendas[Nº Contrato],0)),0)</f>
        <v>300000</v>
      </c>
      <c r="K218" s="21">
        <f>IFERROR(tb_Auditoria[[#This Row],[VALOR ESPERADO]] / tb_Auditoria[[#This Row],[VALOR CRÉDITO]], 0)</f>
        <v>0</v>
      </c>
      <c r="L218" s="19" t="e">
        <f>SUMIFS([1]!Motor_Comissão[Valor Previsto],[1]!Motor_Comissão[Chave], tb_Auditoria[[#This Row],[Nº CONTRATO]]&amp;"-"&amp;tb_Auditoria[[#This Row],[PARCELA ATUAL]])</f>
        <v>#REF!</v>
      </c>
      <c r="M218" s="19" t="e">
        <f>tb_Auditoria[[#This Row],[VALOR PAGO]] - tb_Auditoria[[#This Row],[VALOR ESPERADO]]</f>
        <v>#REF!</v>
      </c>
      <c r="N2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19" spans="1:15">
      <c r="A219" s="9">
        <v>1150440</v>
      </c>
      <c r="B219" s="10">
        <v>10</v>
      </c>
      <c r="C219" s="28">
        <v>1.856E-3</v>
      </c>
      <c r="D219" s="12">
        <f>tb_Auditoria[[#This Row],[% TAXA RELATÓRIO]]*tb_Auditoria[[#This Row],[VALOR CRÉDITO]]</f>
        <v>556.79999999999995</v>
      </c>
      <c r="E219" s="13">
        <v>46161</v>
      </c>
      <c r="F219" s="13" t="s">
        <v>16</v>
      </c>
      <c r="G21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1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1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19" s="19">
        <f>IFERROR(INDEX([1]!tb_Vendas[Crédito],MATCH(tb_Auditoria[[#This Row],[Nº CONTRATO]],[1]!tb_Vendas[Nº Contrato],0)),0)</f>
        <v>300000</v>
      </c>
      <c r="K219" s="21">
        <f>IFERROR(tb_Auditoria[[#This Row],[VALOR ESPERADO]] / tb_Auditoria[[#This Row],[VALOR CRÉDITO]], 0)</f>
        <v>0</v>
      </c>
      <c r="L219" s="19" t="e">
        <f>SUMIFS([1]!Motor_Comissão[Valor Previsto],[1]!Motor_Comissão[Chave], tb_Auditoria[[#This Row],[Nº CONTRATO]]&amp;"-"&amp;tb_Auditoria[[#This Row],[PARCELA ATUAL]])</f>
        <v>#REF!</v>
      </c>
      <c r="M219" s="19" t="e">
        <f>tb_Auditoria[[#This Row],[VALOR PAGO]] - tb_Auditoria[[#This Row],[VALOR ESPERADO]]</f>
        <v>#REF!</v>
      </c>
      <c r="N2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0" spans="1:15">
      <c r="A220" s="9">
        <v>1150441</v>
      </c>
      <c r="B220" s="10">
        <v>10</v>
      </c>
      <c r="C220" s="28">
        <v>1.856E-3</v>
      </c>
      <c r="D220" s="12">
        <f>tb_Auditoria[[#This Row],[% TAXA RELATÓRIO]]*tb_Auditoria[[#This Row],[VALOR CRÉDITO]]</f>
        <v>556.79999999999995</v>
      </c>
      <c r="E220" s="13">
        <v>46161</v>
      </c>
      <c r="F220" s="13" t="s">
        <v>16</v>
      </c>
      <c r="G22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2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20" s="19">
        <f>IFERROR(INDEX([1]!tb_Vendas[Crédito],MATCH(tb_Auditoria[[#This Row],[Nº CONTRATO]],[1]!tb_Vendas[Nº Contrato],0)),0)</f>
        <v>300000</v>
      </c>
      <c r="K220" s="21">
        <f>IFERROR(tb_Auditoria[[#This Row],[VALOR ESPERADO]] / tb_Auditoria[[#This Row],[VALOR CRÉDITO]], 0)</f>
        <v>0</v>
      </c>
      <c r="L220" s="19" t="e">
        <f>SUMIFS([1]!Motor_Comissão[Valor Previsto],[1]!Motor_Comissão[Chave], tb_Auditoria[[#This Row],[Nº CONTRATO]]&amp;"-"&amp;tb_Auditoria[[#This Row],[PARCELA ATUAL]])</f>
        <v>#REF!</v>
      </c>
      <c r="M220" s="19" t="e">
        <f>tb_Auditoria[[#This Row],[VALOR PAGO]] - tb_Auditoria[[#This Row],[VALOR ESPERADO]]</f>
        <v>#REF!</v>
      </c>
      <c r="N2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1" spans="1:15">
      <c r="A221" s="9">
        <v>1150442</v>
      </c>
      <c r="B221" s="10">
        <v>10</v>
      </c>
      <c r="C221" s="28">
        <v>1.856E-3</v>
      </c>
      <c r="D221" s="12">
        <f>tb_Auditoria[[#This Row],[% TAXA RELATÓRIO]]*tb_Auditoria[[#This Row],[VALOR CRÉDITO]]</f>
        <v>556.79999999999995</v>
      </c>
      <c r="E221" s="13">
        <v>46161</v>
      </c>
      <c r="F221" s="13" t="s">
        <v>16</v>
      </c>
      <c r="G22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2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21" s="19">
        <f>IFERROR(INDEX([1]!tb_Vendas[Crédito],MATCH(tb_Auditoria[[#This Row],[Nº CONTRATO]],[1]!tb_Vendas[Nº Contrato],0)),0)</f>
        <v>300000</v>
      </c>
      <c r="K221" s="21">
        <f>IFERROR(tb_Auditoria[[#This Row],[VALOR ESPERADO]] / tb_Auditoria[[#This Row],[VALOR CRÉDITO]], 0)</f>
        <v>0</v>
      </c>
      <c r="L221" s="19" t="e">
        <f>SUMIFS([1]!Motor_Comissão[Valor Previsto],[1]!Motor_Comissão[Chave], tb_Auditoria[[#This Row],[Nº CONTRATO]]&amp;"-"&amp;tb_Auditoria[[#This Row],[PARCELA ATUAL]])</f>
        <v>#REF!</v>
      </c>
      <c r="M221" s="19" t="e">
        <f>tb_Auditoria[[#This Row],[VALOR PAGO]] - tb_Auditoria[[#This Row],[VALOR ESPERADO]]</f>
        <v>#REF!</v>
      </c>
      <c r="N2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2" spans="1:15">
      <c r="A222" s="9">
        <v>1150443</v>
      </c>
      <c r="B222" s="10">
        <v>10</v>
      </c>
      <c r="C222" s="28">
        <v>1.856E-3</v>
      </c>
      <c r="D222" s="12">
        <f>tb_Auditoria[[#This Row],[% TAXA RELATÓRIO]]*tb_Auditoria[[#This Row],[VALOR CRÉDITO]]</f>
        <v>556.79999999999995</v>
      </c>
      <c r="E222" s="13">
        <v>46161</v>
      </c>
      <c r="F222" s="13" t="s">
        <v>16</v>
      </c>
      <c r="G22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2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22" s="19">
        <f>IFERROR(INDEX([1]!tb_Vendas[Crédito],MATCH(tb_Auditoria[[#This Row],[Nº CONTRATO]],[1]!tb_Vendas[Nº Contrato],0)),0)</f>
        <v>300000</v>
      </c>
      <c r="K222" s="21">
        <f>IFERROR(tb_Auditoria[[#This Row],[VALOR ESPERADO]] / tb_Auditoria[[#This Row],[VALOR CRÉDITO]], 0)</f>
        <v>0</v>
      </c>
      <c r="L222" s="19" t="e">
        <f>SUMIFS([1]!Motor_Comissão[Valor Previsto],[1]!Motor_Comissão[Chave], tb_Auditoria[[#This Row],[Nº CONTRATO]]&amp;"-"&amp;tb_Auditoria[[#This Row],[PARCELA ATUAL]])</f>
        <v>#REF!</v>
      </c>
      <c r="M222" s="19" t="e">
        <f>tb_Auditoria[[#This Row],[VALOR PAGO]] - tb_Auditoria[[#This Row],[VALOR ESPERADO]]</f>
        <v>#REF!</v>
      </c>
      <c r="N2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3" spans="1:15">
      <c r="A223" s="9">
        <v>1150445</v>
      </c>
      <c r="B223" s="10">
        <v>10</v>
      </c>
      <c r="C223" s="28">
        <v>1.856E-3</v>
      </c>
      <c r="D223" s="12">
        <f>tb_Auditoria[[#This Row],[% TAXA RELATÓRIO]]*tb_Auditoria[[#This Row],[VALOR CRÉDITO]]</f>
        <v>556.79999999999995</v>
      </c>
      <c r="E223" s="13">
        <v>46161</v>
      </c>
      <c r="F223" s="13" t="s">
        <v>16</v>
      </c>
      <c r="G22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2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23" s="19">
        <f>IFERROR(INDEX([1]!tb_Vendas[Crédito],MATCH(tb_Auditoria[[#This Row],[Nº CONTRATO]],[1]!tb_Vendas[Nº Contrato],0)),0)</f>
        <v>300000</v>
      </c>
      <c r="K223" s="21">
        <f>IFERROR(tb_Auditoria[[#This Row],[VALOR ESPERADO]] / tb_Auditoria[[#This Row],[VALOR CRÉDITO]], 0)</f>
        <v>0</v>
      </c>
      <c r="L223" s="19" t="e">
        <f>SUMIFS([1]!Motor_Comissão[Valor Previsto],[1]!Motor_Comissão[Chave], tb_Auditoria[[#This Row],[Nº CONTRATO]]&amp;"-"&amp;tb_Auditoria[[#This Row],[PARCELA ATUAL]])</f>
        <v>#REF!</v>
      </c>
      <c r="M223" s="19" t="e">
        <f>tb_Auditoria[[#This Row],[VALOR PAGO]] - tb_Auditoria[[#This Row],[VALOR ESPERADO]]</f>
        <v>#REF!</v>
      </c>
      <c r="N2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4" spans="1:15">
      <c r="A224" s="9">
        <v>1150446</v>
      </c>
      <c r="B224" s="10">
        <v>10</v>
      </c>
      <c r="C224" s="28">
        <v>1.856E-3</v>
      </c>
      <c r="D224" s="12">
        <f>tb_Auditoria[[#This Row],[% TAXA RELATÓRIO]]*tb_Auditoria[[#This Row],[VALOR CRÉDITO]]</f>
        <v>556.79999999999995</v>
      </c>
      <c r="E224" s="13">
        <v>46161</v>
      </c>
      <c r="F224" s="13" t="s">
        <v>16</v>
      </c>
      <c r="G22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2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24" s="19">
        <f>IFERROR(INDEX([1]!tb_Vendas[Crédito],MATCH(tb_Auditoria[[#This Row],[Nº CONTRATO]],[1]!tb_Vendas[Nº Contrato],0)),0)</f>
        <v>300000</v>
      </c>
      <c r="K224" s="21">
        <f>IFERROR(tb_Auditoria[[#This Row],[VALOR ESPERADO]] / tb_Auditoria[[#This Row],[VALOR CRÉDITO]], 0)</f>
        <v>0</v>
      </c>
      <c r="L224" s="19" t="e">
        <f>SUMIFS([1]!Motor_Comissão[Valor Previsto],[1]!Motor_Comissão[Chave], tb_Auditoria[[#This Row],[Nº CONTRATO]]&amp;"-"&amp;tb_Auditoria[[#This Row],[PARCELA ATUAL]])</f>
        <v>#REF!</v>
      </c>
      <c r="M224" s="19" t="e">
        <f>tb_Auditoria[[#This Row],[VALOR PAGO]] - tb_Auditoria[[#This Row],[VALOR ESPERADO]]</f>
        <v>#REF!</v>
      </c>
      <c r="N2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5" spans="1:15">
      <c r="A225" s="9">
        <v>1150447</v>
      </c>
      <c r="B225" s="10">
        <v>10</v>
      </c>
      <c r="C225" s="28">
        <v>1.856E-3</v>
      </c>
      <c r="D225" s="12">
        <f>tb_Auditoria[[#This Row],[% TAXA RELATÓRIO]]*tb_Auditoria[[#This Row],[VALOR CRÉDITO]]</f>
        <v>556.79999999999995</v>
      </c>
      <c r="E225" s="13">
        <v>46161</v>
      </c>
      <c r="F225" s="13" t="s">
        <v>16</v>
      </c>
      <c r="G22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2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25" s="19">
        <f>IFERROR(INDEX([1]!tb_Vendas[Crédito],MATCH(tb_Auditoria[[#This Row],[Nº CONTRATO]],[1]!tb_Vendas[Nº Contrato],0)),0)</f>
        <v>300000</v>
      </c>
      <c r="K225" s="21">
        <f>IFERROR(tb_Auditoria[[#This Row],[VALOR ESPERADO]] / tb_Auditoria[[#This Row],[VALOR CRÉDITO]], 0)</f>
        <v>0</v>
      </c>
      <c r="L225" s="19" t="e">
        <f>SUMIFS([1]!Motor_Comissão[Valor Previsto],[1]!Motor_Comissão[Chave], tb_Auditoria[[#This Row],[Nº CONTRATO]]&amp;"-"&amp;tb_Auditoria[[#This Row],[PARCELA ATUAL]])</f>
        <v>#REF!</v>
      </c>
      <c r="M225" s="19" t="e">
        <f>tb_Auditoria[[#This Row],[VALOR PAGO]] - tb_Auditoria[[#This Row],[VALOR ESPERADO]]</f>
        <v>#REF!</v>
      </c>
      <c r="N2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6" spans="1:15">
      <c r="A226" s="9">
        <v>1150448</v>
      </c>
      <c r="B226" s="10">
        <v>10</v>
      </c>
      <c r="C226" s="28">
        <v>1.856E-3</v>
      </c>
      <c r="D226" s="12">
        <f>tb_Auditoria[[#This Row],[% TAXA RELATÓRIO]]*tb_Auditoria[[#This Row],[VALOR CRÉDITO]]</f>
        <v>556.79999999999995</v>
      </c>
      <c r="E226" s="13">
        <v>46161</v>
      </c>
      <c r="F226" s="13" t="s">
        <v>16</v>
      </c>
      <c r="G22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2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26" s="19">
        <f>IFERROR(INDEX([1]!tb_Vendas[Crédito],MATCH(tb_Auditoria[[#This Row],[Nº CONTRATO]],[1]!tb_Vendas[Nº Contrato],0)),0)</f>
        <v>300000</v>
      </c>
      <c r="K226" s="21">
        <f>IFERROR(tb_Auditoria[[#This Row],[VALOR ESPERADO]] / tb_Auditoria[[#This Row],[VALOR CRÉDITO]], 0)</f>
        <v>0</v>
      </c>
      <c r="L226" s="19" t="e">
        <f>SUMIFS([1]!Motor_Comissão[Valor Previsto],[1]!Motor_Comissão[Chave], tb_Auditoria[[#This Row],[Nº CONTRATO]]&amp;"-"&amp;tb_Auditoria[[#This Row],[PARCELA ATUAL]])</f>
        <v>#REF!</v>
      </c>
      <c r="M226" s="19" t="e">
        <f>tb_Auditoria[[#This Row],[VALOR PAGO]] - tb_Auditoria[[#This Row],[VALOR ESPERADO]]</f>
        <v>#REF!</v>
      </c>
      <c r="N2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7" spans="1:15">
      <c r="A227" s="9">
        <v>1150449</v>
      </c>
      <c r="B227" s="10">
        <v>10</v>
      </c>
      <c r="C227" s="28">
        <v>1.856E-3</v>
      </c>
      <c r="D227" s="12">
        <f>tb_Auditoria[[#This Row],[% TAXA RELATÓRIO]]*tb_Auditoria[[#This Row],[VALOR CRÉDITO]]</f>
        <v>556.79999999999995</v>
      </c>
      <c r="E227" s="13">
        <v>46161</v>
      </c>
      <c r="F227" s="13" t="s">
        <v>16</v>
      </c>
      <c r="G22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2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27" s="19">
        <f>IFERROR(INDEX([1]!tb_Vendas[Crédito],MATCH(tb_Auditoria[[#This Row],[Nº CONTRATO]],[1]!tb_Vendas[Nº Contrato],0)),0)</f>
        <v>300000</v>
      </c>
      <c r="K227" s="21">
        <f>IFERROR(tb_Auditoria[[#This Row],[VALOR ESPERADO]] / tb_Auditoria[[#This Row],[VALOR CRÉDITO]], 0)</f>
        <v>0</v>
      </c>
      <c r="L227" s="19" t="e">
        <f>SUMIFS([1]!Motor_Comissão[Valor Previsto],[1]!Motor_Comissão[Chave], tb_Auditoria[[#This Row],[Nº CONTRATO]]&amp;"-"&amp;tb_Auditoria[[#This Row],[PARCELA ATUAL]])</f>
        <v>#REF!</v>
      </c>
      <c r="M227" s="19" t="e">
        <f>tb_Auditoria[[#This Row],[VALOR PAGO]] - tb_Auditoria[[#This Row],[VALOR ESPERADO]]</f>
        <v>#REF!</v>
      </c>
      <c r="N2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8" spans="1:15">
      <c r="A228" s="9">
        <v>1150451</v>
      </c>
      <c r="B228" s="10">
        <v>10</v>
      </c>
      <c r="C228" s="28">
        <v>1.856E-3</v>
      </c>
      <c r="D228" s="12">
        <f>tb_Auditoria[[#This Row],[% TAXA RELATÓRIO]]*tb_Auditoria[[#This Row],[VALOR CRÉDITO]]</f>
        <v>556.79999999999995</v>
      </c>
      <c r="E228" s="13">
        <v>46161</v>
      </c>
      <c r="F228" s="13" t="s">
        <v>16</v>
      </c>
      <c r="G22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CONSTRUTECN SERVICOS DE ENGENHARIA LTDA</v>
      </c>
      <c r="I22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ANDERSON / DENISE</v>
      </c>
      <c r="J228" s="19">
        <f>IFERROR(INDEX([1]!tb_Vendas[Crédito],MATCH(tb_Auditoria[[#This Row],[Nº CONTRATO]],[1]!tb_Vendas[Nº Contrato],0)),0)</f>
        <v>300000</v>
      </c>
      <c r="K228" s="21">
        <f>IFERROR(tb_Auditoria[[#This Row],[VALOR ESPERADO]] / tb_Auditoria[[#This Row],[VALOR CRÉDITO]], 0)</f>
        <v>0</v>
      </c>
      <c r="L228" s="19" t="e">
        <f>SUMIFS([1]!Motor_Comissão[Valor Previsto],[1]!Motor_Comissão[Chave], tb_Auditoria[[#This Row],[Nº CONTRATO]]&amp;"-"&amp;tb_Auditoria[[#This Row],[PARCELA ATUAL]])</f>
        <v>#REF!</v>
      </c>
      <c r="M228" s="19" t="e">
        <f>tb_Auditoria[[#This Row],[VALOR PAGO]] - tb_Auditoria[[#This Row],[VALOR ESPERADO]]</f>
        <v>#REF!</v>
      </c>
      <c r="N2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29" spans="1:15">
      <c r="A229" s="9">
        <v>1151501</v>
      </c>
      <c r="B229" s="10">
        <v>1</v>
      </c>
      <c r="C229" s="28">
        <v>4.7359999999999998E-3</v>
      </c>
      <c r="D229" s="12">
        <f>tb_Auditoria[[#This Row],[% TAXA RELATÓRIO]]*tb_Auditoria[[#This Row],[VALOR CRÉDITO]]</f>
        <v>1352.0867967999998</v>
      </c>
      <c r="E229" s="13">
        <v>45918</v>
      </c>
      <c r="F229" s="13" t="s">
        <v>16</v>
      </c>
      <c r="G22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2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2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29" s="19">
        <f>IFERROR(INDEX([1]!tb_Vendas[Crédito],MATCH(tb_Auditoria[[#This Row],[Nº CONTRATO]],[1]!tb_Vendas[Nº Contrato],0)),0)</f>
        <v>285491.3</v>
      </c>
      <c r="K229" s="21">
        <f>IFERROR(tb_Auditoria[[#This Row],[VALOR ESPERADO]] / tb_Auditoria[[#This Row],[VALOR CRÉDITO]], 0)</f>
        <v>0</v>
      </c>
      <c r="L229" s="19" t="e">
        <f>SUMIFS([1]!Motor_Comissão[Valor Previsto],[1]!Motor_Comissão[Chave], tb_Auditoria[[#This Row],[Nº CONTRATO]]&amp;"-"&amp;tb_Auditoria[[#This Row],[PARCELA ATUAL]])</f>
        <v>#REF!</v>
      </c>
      <c r="M229" s="19" t="e">
        <f>tb_Auditoria[[#This Row],[VALOR PAGO]] - tb_Auditoria[[#This Row],[VALOR ESPERADO]]</f>
        <v>#REF!</v>
      </c>
      <c r="N2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0" spans="1:15">
      <c r="A230" s="9">
        <v>1151503</v>
      </c>
      <c r="B230" s="10">
        <v>1</v>
      </c>
      <c r="C230" s="28">
        <v>4.7359999999999998E-3</v>
      </c>
      <c r="D230" s="12">
        <f>tb_Auditoria[[#This Row],[% TAXA RELATÓRIO]]*tb_Auditoria[[#This Row],[VALOR CRÉDITO]]</f>
        <v>1352.0867967999998</v>
      </c>
      <c r="E230" s="13">
        <v>45918</v>
      </c>
      <c r="F230" s="13" t="s">
        <v>16</v>
      </c>
      <c r="G23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3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0" s="19">
        <f>IFERROR(INDEX([1]!tb_Vendas[Crédito],MATCH(tb_Auditoria[[#This Row],[Nº CONTRATO]],[1]!tb_Vendas[Nº Contrato],0)),0)</f>
        <v>285491.3</v>
      </c>
      <c r="K230" s="21">
        <f>IFERROR(tb_Auditoria[[#This Row],[VALOR ESPERADO]] / tb_Auditoria[[#This Row],[VALOR CRÉDITO]], 0)</f>
        <v>0</v>
      </c>
      <c r="L230" s="19" t="e">
        <f>SUMIFS([1]!Motor_Comissão[Valor Previsto],[1]!Motor_Comissão[Chave], tb_Auditoria[[#This Row],[Nº CONTRATO]]&amp;"-"&amp;tb_Auditoria[[#This Row],[PARCELA ATUAL]])</f>
        <v>#REF!</v>
      </c>
      <c r="M230" s="19" t="e">
        <f>tb_Auditoria[[#This Row],[VALOR PAGO]] - tb_Auditoria[[#This Row],[VALOR ESPERADO]]</f>
        <v>#REF!</v>
      </c>
      <c r="N2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1" spans="1:15">
      <c r="A231" s="9">
        <v>1151505</v>
      </c>
      <c r="B231" s="10">
        <v>1</v>
      </c>
      <c r="C231" s="28">
        <v>4.7359999999999998E-3</v>
      </c>
      <c r="D231" s="12">
        <f>tb_Auditoria[[#This Row],[% TAXA RELATÓRIO]]*tb_Auditoria[[#This Row],[VALOR CRÉDITO]]</f>
        <v>1352.0867967999998</v>
      </c>
      <c r="E231" s="13">
        <v>45918</v>
      </c>
      <c r="F231" s="13" t="s">
        <v>16</v>
      </c>
      <c r="G23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3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1" s="19">
        <f>IFERROR(INDEX([1]!tb_Vendas[Crédito],MATCH(tb_Auditoria[[#This Row],[Nº CONTRATO]],[1]!tb_Vendas[Nº Contrato],0)),0)</f>
        <v>285491.3</v>
      </c>
      <c r="K231" s="21">
        <f>IFERROR(tb_Auditoria[[#This Row],[VALOR ESPERADO]] / tb_Auditoria[[#This Row],[VALOR CRÉDITO]], 0)</f>
        <v>0</v>
      </c>
      <c r="L231" s="19" t="e">
        <f>SUMIFS([1]!Motor_Comissão[Valor Previsto],[1]!Motor_Comissão[Chave], tb_Auditoria[[#This Row],[Nº CONTRATO]]&amp;"-"&amp;tb_Auditoria[[#This Row],[PARCELA ATUAL]])</f>
        <v>#REF!</v>
      </c>
      <c r="M231" s="19" t="e">
        <f>tb_Auditoria[[#This Row],[VALOR PAGO]] - tb_Auditoria[[#This Row],[VALOR ESPERADO]]</f>
        <v>#REF!</v>
      </c>
      <c r="N2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2" spans="1:15">
      <c r="A232" s="9">
        <v>1151506</v>
      </c>
      <c r="B232" s="10">
        <v>1</v>
      </c>
      <c r="C232" s="28">
        <v>4.4799999999999996E-3</v>
      </c>
      <c r="D232" s="12">
        <f>tb_Auditoria[[#This Row],[% TAXA RELATÓRIO]]*tb_Auditoria[[#This Row],[VALOR CRÉDITO]]</f>
        <v>1370.2583551999999</v>
      </c>
      <c r="E232" s="13">
        <v>45918</v>
      </c>
      <c r="F232" s="13" t="s">
        <v>16</v>
      </c>
      <c r="G23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3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2" s="19">
        <f>IFERROR(INDEX([1]!tb_Vendas[Crédito],MATCH(tb_Auditoria[[#This Row],[Nº CONTRATO]],[1]!tb_Vendas[Nº Contrato],0)),0)</f>
        <v>305861.24</v>
      </c>
      <c r="K232" s="21">
        <f>IFERROR(tb_Auditoria[[#This Row],[VALOR ESPERADO]] / tb_Auditoria[[#This Row],[VALOR CRÉDITO]], 0)</f>
        <v>0</v>
      </c>
      <c r="L232" s="19" t="e">
        <f>SUMIFS([1]!Motor_Comissão[Valor Previsto],[1]!Motor_Comissão[Chave], tb_Auditoria[[#This Row],[Nº CONTRATO]]&amp;"-"&amp;tb_Auditoria[[#This Row],[PARCELA ATUAL]])</f>
        <v>#REF!</v>
      </c>
      <c r="M232" s="19" t="e">
        <f>tb_Auditoria[[#This Row],[VALOR PAGO]] - tb_Auditoria[[#This Row],[VALOR ESPERADO]]</f>
        <v>#REF!</v>
      </c>
      <c r="N2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3" spans="1:15">
      <c r="A233" s="9">
        <v>1151507</v>
      </c>
      <c r="B233" s="10">
        <v>1</v>
      </c>
      <c r="C233" s="28">
        <v>4.4799999999999996E-3</v>
      </c>
      <c r="D233" s="12">
        <f>tb_Auditoria[[#This Row],[% TAXA RELATÓRIO]]*tb_Auditoria[[#This Row],[VALOR CRÉDITO]]</f>
        <v>1370.2583551999999</v>
      </c>
      <c r="E233" s="13">
        <v>45918</v>
      </c>
      <c r="F233" s="13" t="s">
        <v>16</v>
      </c>
      <c r="G23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3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3" s="19">
        <f>IFERROR(INDEX([1]!tb_Vendas[Crédito],MATCH(tb_Auditoria[[#This Row],[Nº CONTRATO]],[1]!tb_Vendas[Nº Contrato],0)),0)</f>
        <v>305861.24</v>
      </c>
      <c r="K233" s="21">
        <f>IFERROR(tb_Auditoria[[#This Row],[VALOR ESPERADO]] / tb_Auditoria[[#This Row],[VALOR CRÉDITO]], 0)</f>
        <v>0</v>
      </c>
      <c r="L233" s="19" t="e">
        <f>SUMIFS([1]!Motor_Comissão[Valor Previsto],[1]!Motor_Comissão[Chave], tb_Auditoria[[#This Row],[Nº CONTRATO]]&amp;"-"&amp;tb_Auditoria[[#This Row],[PARCELA ATUAL]])</f>
        <v>#REF!</v>
      </c>
      <c r="M233" s="19" t="e">
        <f>tb_Auditoria[[#This Row],[VALOR PAGO]] - tb_Auditoria[[#This Row],[VALOR ESPERADO]]</f>
        <v>#REF!</v>
      </c>
      <c r="N2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4" spans="1:15">
      <c r="A234" s="9">
        <v>1151509</v>
      </c>
      <c r="B234" s="10">
        <v>1</v>
      </c>
      <c r="C234" s="28">
        <v>4.4799999999999996E-3</v>
      </c>
      <c r="D234" s="12">
        <f>tb_Auditoria[[#This Row],[% TAXA RELATÓRIO]]*tb_Auditoria[[#This Row],[VALOR CRÉDITO]]</f>
        <v>1370.2583551999999</v>
      </c>
      <c r="E234" s="13">
        <v>45918</v>
      </c>
      <c r="F234" s="13" t="s">
        <v>16</v>
      </c>
      <c r="G23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3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4" s="19">
        <f>IFERROR(INDEX([1]!tb_Vendas[Crédito],MATCH(tb_Auditoria[[#This Row],[Nº CONTRATO]],[1]!tb_Vendas[Nº Contrato],0)),0)</f>
        <v>305861.24</v>
      </c>
      <c r="K234" s="21">
        <f>IFERROR(tb_Auditoria[[#This Row],[VALOR ESPERADO]] / tb_Auditoria[[#This Row],[VALOR CRÉDITO]], 0)</f>
        <v>0</v>
      </c>
      <c r="L234" s="19" t="e">
        <f>SUMIFS([1]!Motor_Comissão[Valor Previsto],[1]!Motor_Comissão[Chave], tb_Auditoria[[#This Row],[Nº CONTRATO]]&amp;"-"&amp;tb_Auditoria[[#This Row],[PARCELA ATUAL]])</f>
        <v>#REF!</v>
      </c>
      <c r="M234" s="19" t="e">
        <f>tb_Auditoria[[#This Row],[VALOR PAGO]] - tb_Auditoria[[#This Row],[VALOR ESPERADO]]</f>
        <v>#REF!</v>
      </c>
      <c r="N2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5" spans="1:15">
      <c r="A235" s="9">
        <v>1151510</v>
      </c>
      <c r="B235" s="10">
        <v>1</v>
      </c>
      <c r="C235" s="28">
        <v>4.4799999999999996E-3</v>
      </c>
      <c r="D235" s="12">
        <f>tb_Auditoria[[#This Row],[% TAXA RELATÓRIO]]*tb_Auditoria[[#This Row],[VALOR CRÉDITO]]</f>
        <v>1370.2583551999999</v>
      </c>
      <c r="E235" s="13">
        <v>45918</v>
      </c>
      <c r="F235" s="13" t="s">
        <v>16</v>
      </c>
      <c r="G23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3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5" s="19">
        <f>IFERROR(INDEX([1]!tb_Vendas[Crédito],MATCH(tb_Auditoria[[#This Row],[Nº CONTRATO]],[1]!tb_Vendas[Nº Contrato],0)),0)</f>
        <v>305861.24</v>
      </c>
      <c r="K235" s="21">
        <f>IFERROR(tb_Auditoria[[#This Row],[VALOR ESPERADO]] / tb_Auditoria[[#This Row],[VALOR CRÉDITO]], 0)</f>
        <v>0</v>
      </c>
      <c r="L235" s="19" t="e">
        <f>SUMIFS([1]!Motor_Comissão[Valor Previsto],[1]!Motor_Comissão[Chave], tb_Auditoria[[#This Row],[Nº CONTRATO]]&amp;"-"&amp;tb_Auditoria[[#This Row],[PARCELA ATUAL]])</f>
        <v>#REF!</v>
      </c>
      <c r="M235" s="19" t="e">
        <f>tb_Auditoria[[#This Row],[VALOR PAGO]] - tb_Auditoria[[#This Row],[VALOR ESPERADO]]</f>
        <v>#REF!</v>
      </c>
      <c r="N2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6" spans="1:15">
      <c r="A236" s="9">
        <v>1151511</v>
      </c>
      <c r="B236" s="10">
        <v>1</v>
      </c>
      <c r="C236" s="28">
        <v>4.4799999999999996E-3</v>
      </c>
      <c r="D236" s="12">
        <f>tb_Auditoria[[#This Row],[% TAXA RELATÓRIO]]*tb_Auditoria[[#This Row],[VALOR CRÉDITO]]</f>
        <v>1299.3099391999997</v>
      </c>
      <c r="E236" s="13">
        <v>45918</v>
      </c>
      <c r="F236" s="13" t="s">
        <v>16</v>
      </c>
      <c r="G23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3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6" s="19">
        <f>IFERROR(INDEX([1]!tb_Vendas[Crédito],MATCH(tb_Auditoria[[#This Row],[Nº CONTRATO]],[1]!tb_Vendas[Nº Contrato],0)),0)</f>
        <v>290024.53999999998</v>
      </c>
      <c r="K236" s="21">
        <f>IFERROR(tb_Auditoria[[#This Row],[VALOR ESPERADO]] / tb_Auditoria[[#This Row],[VALOR CRÉDITO]], 0)</f>
        <v>0</v>
      </c>
      <c r="L236" s="19" t="e">
        <f>SUMIFS([1]!Motor_Comissão[Valor Previsto],[1]!Motor_Comissão[Chave], tb_Auditoria[[#This Row],[Nº CONTRATO]]&amp;"-"&amp;tb_Auditoria[[#This Row],[PARCELA ATUAL]])</f>
        <v>#REF!</v>
      </c>
      <c r="M236" s="19" t="e">
        <f>tb_Auditoria[[#This Row],[VALOR PAGO]] - tb_Auditoria[[#This Row],[VALOR ESPERADO]]</f>
        <v>#REF!</v>
      </c>
      <c r="N2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7" spans="1:15">
      <c r="A237" s="9">
        <v>1151512</v>
      </c>
      <c r="B237" s="10">
        <v>1</v>
      </c>
      <c r="C237" s="28">
        <v>4.4799999999999996E-3</v>
      </c>
      <c r="D237" s="12">
        <f>tb_Auditoria[[#This Row],[% TAXA RELATÓRIO]]*tb_Auditoria[[#This Row],[VALOR CRÉDITO]]</f>
        <v>1299.3099391999997</v>
      </c>
      <c r="E237" s="13">
        <v>45918</v>
      </c>
      <c r="F237" s="13" t="s">
        <v>16</v>
      </c>
      <c r="G23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3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7" s="19">
        <f>IFERROR(INDEX([1]!tb_Vendas[Crédito],MATCH(tb_Auditoria[[#This Row],[Nº CONTRATO]],[1]!tb_Vendas[Nº Contrato],0)),0)</f>
        <v>290024.53999999998</v>
      </c>
      <c r="K237" s="21">
        <f>IFERROR(tb_Auditoria[[#This Row],[VALOR ESPERADO]] / tb_Auditoria[[#This Row],[VALOR CRÉDITO]], 0)</f>
        <v>0</v>
      </c>
      <c r="L237" s="19" t="e">
        <f>SUMIFS([1]!Motor_Comissão[Valor Previsto],[1]!Motor_Comissão[Chave], tb_Auditoria[[#This Row],[Nº CONTRATO]]&amp;"-"&amp;tb_Auditoria[[#This Row],[PARCELA ATUAL]])</f>
        <v>#REF!</v>
      </c>
      <c r="M237" s="19" t="e">
        <f>tb_Auditoria[[#This Row],[VALOR PAGO]] - tb_Auditoria[[#This Row],[VALOR ESPERADO]]</f>
        <v>#REF!</v>
      </c>
      <c r="N2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8" spans="1:15">
      <c r="A238" s="9">
        <v>1151514</v>
      </c>
      <c r="B238" s="10">
        <v>1</v>
      </c>
      <c r="C238" s="28">
        <v>4.4799999999999996E-3</v>
      </c>
      <c r="D238" s="12">
        <f>tb_Auditoria[[#This Row],[% TAXA RELATÓRIO]]*tb_Auditoria[[#This Row],[VALOR CRÉDITO]]</f>
        <v>2685.3868607999998</v>
      </c>
      <c r="E238" s="13">
        <v>45918</v>
      </c>
      <c r="F238" s="13" t="s">
        <v>16</v>
      </c>
      <c r="G23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3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8" s="19">
        <f>IFERROR(INDEX([1]!tb_Vendas[Crédito],MATCH(tb_Auditoria[[#This Row],[Nº CONTRATO]],[1]!tb_Vendas[Nº Contrato],0)),0)</f>
        <v>599416.71</v>
      </c>
      <c r="K238" s="21">
        <f>IFERROR(tb_Auditoria[[#This Row],[VALOR ESPERADO]] / tb_Auditoria[[#This Row],[VALOR CRÉDITO]], 0)</f>
        <v>0</v>
      </c>
      <c r="L238" s="19" t="e">
        <f>SUMIFS([1]!Motor_Comissão[Valor Previsto],[1]!Motor_Comissão[Chave], tb_Auditoria[[#This Row],[Nº CONTRATO]]&amp;"-"&amp;tb_Auditoria[[#This Row],[PARCELA ATUAL]])</f>
        <v>#REF!</v>
      </c>
      <c r="M238" s="19" t="e">
        <f>tb_Auditoria[[#This Row],[VALOR PAGO]] - tb_Auditoria[[#This Row],[VALOR ESPERADO]]</f>
        <v>#REF!</v>
      </c>
      <c r="N2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39" spans="1:15">
      <c r="A239" s="9">
        <v>1151515</v>
      </c>
      <c r="B239" s="10">
        <v>1</v>
      </c>
      <c r="C239" s="28">
        <v>4.4799999999999996E-3</v>
      </c>
      <c r="D239" s="12">
        <f>tb_Auditoria[[#This Row],[% TAXA RELATÓRIO]]*tb_Auditoria[[#This Row],[VALOR CRÉDITO]]</f>
        <v>2685.3868607999998</v>
      </c>
      <c r="E239" s="13">
        <v>45918</v>
      </c>
      <c r="F239" s="13" t="s">
        <v>16</v>
      </c>
      <c r="G23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39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39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39" s="23">
        <f>IFERROR(INDEX([1]!tb_Vendas[Crédito],MATCH(tb_Auditoria[[#This Row],[Nº CONTRATO]],[1]!tb_Vendas[Nº Contrato],0)),0)</f>
        <v>599416.71</v>
      </c>
      <c r="K239" s="22">
        <f>IFERROR(tb_Auditoria[[#This Row],[VALOR ESPERADO]] / tb_Auditoria[[#This Row],[VALOR CRÉDITO]], 0)</f>
        <v>0</v>
      </c>
      <c r="L239" s="23" t="e">
        <f>SUMIFS([1]!Motor_Comissão[Valor Previsto],[1]!Motor_Comissão[Chave], tb_Auditoria[[#This Row],[Nº CONTRATO]]&amp;"-"&amp;tb_Auditoria[[#This Row],[PARCELA ATUAL]])</f>
        <v>#REF!</v>
      </c>
      <c r="M239" s="23" t="e">
        <f>tb_Auditoria[[#This Row],[VALOR PAGO]] - tb_Auditoria[[#This Row],[VALOR ESPERADO]]</f>
        <v>#REF!</v>
      </c>
      <c r="N239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39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0" spans="1:15">
      <c r="A240" s="9">
        <v>1151516</v>
      </c>
      <c r="B240" s="10">
        <v>1</v>
      </c>
      <c r="C240" s="28">
        <v>4.4799999999999996E-3</v>
      </c>
      <c r="D240" s="12">
        <f>tb_Auditoria[[#This Row],[% TAXA RELATÓRIO]]*tb_Auditoria[[#This Row],[VALOR CRÉDITO]]</f>
        <v>2685.3868607999998</v>
      </c>
      <c r="E240" s="13">
        <v>45918</v>
      </c>
      <c r="F240" s="13" t="s">
        <v>16</v>
      </c>
      <c r="G24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4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0" s="19">
        <f>IFERROR(INDEX([1]!tb_Vendas[Crédito],MATCH(tb_Auditoria[[#This Row],[Nº CONTRATO]],[1]!tb_Vendas[Nº Contrato],0)),0)</f>
        <v>599416.71</v>
      </c>
      <c r="K240" s="21">
        <f>IFERROR(tb_Auditoria[[#This Row],[VALOR ESPERADO]] / tb_Auditoria[[#This Row],[VALOR CRÉDITO]], 0)</f>
        <v>0</v>
      </c>
      <c r="L240" s="19" t="e">
        <f>SUMIFS([1]!Motor_Comissão[Valor Previsto],[1]!Motor_Comissão[Chave], tb_Auditoria[[#This Row],[Nº CONTRATO]]&amp;"-"&amp;tb_Auditoria[[#This Row],[PARCELA ATUAL]])</f>
        <v>#REF!</v>
      </c>
      <c r="M240" s="19" t="e">
        <f>tb_Auditoria[[#This Row],[VALOR PAGO]] - tb_Auditoria[[#This Row],[VALOR ESPERADO]]</f>
        <v>#REF!</v>
      </c>
      <c r="N2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1" spans="1:15">
      <c r="A241" s="9">
        <v>1151517</v>
      </c>
      <c r="B241" s="10">
        <v>1</v>
      </c>
      <c r="C241" s="28">
        <v>4.4799999999999996E-3</v>
      </c>
      <c r="D241" s="12">
        <f>tb_Auditoria[[#This Row],[% TAXA RELATÓRIO]]*tb_Auditoria[[#This Row],[VALOR CRÉDITO]]</f>
        <v>2685.3868607999998</v>
      </c>
      <c r="E241" s="13">
        <v>45918</v>
      </c>
      <c r="F241" s="13" t="s">
        <v>16</v>
      </c>
      <c r="G24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4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1" s="19">
        <f>IFERROR(INDEX([1]!tb_Vendas[Crédito],MATCH(tb_Auditoria[[#This Row],[Nº CONTRATO]],[1]!tb_Vendas[Nº Contrato],0)),0)</f>
        <v>599416.71</v>
      </c>
      <c r="K241" s="21">
        <f>IFERROR(tb_Auditoria[[#This Row],[VALOR ESPERADO]] / tb_Auditoria[[#This Row],[VALOR CRÉDITO]], 0)</f>
        <v>0</v>
      </c>
      <c r="L241" s="19" t="e">
        <f>SUMIFS([1]!Motor_Comissão[Valor Previsto],[1]!Motor_Comissão[Chave], tb_Auditoria[[#This Row],[Nº CONTRATO]]&amp;"-"&amp;tb_Auditoria[[#This Row],[PARCELA ATUAL]])</f>
        <v>#REF!</v>
      </c>
      <c r="M241" s="19" t="e">
        <f>tb_Auditoria[[#This Row],[VALOR PAGO]] - tb_Auditoria[[#This Row],[VALOR ESPERADO]]</f>
        <v>#REF!</v>
      </c>
      <c r="N2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2" spans="1:15">
      <c r="A242" s="9">
        <v>1151518</v>
      </c>
      <c r="B242" s="10">
        <v>1</v>
      </c>
      <c r="C242" s="28">
        <v>4.4799999999999996E-3</v>
      </c>
      <c r="D242" s="12">
        <f>tb_Auditoria[[#This Row],[% TAXA RELATÓRIO]]*tb_Auditoria[[#This Row],[VALOR CRÉDITO]]</f>
        <v>2685.3868607999998</v>
      </c>
      <c r="E242" s="13">
        <v>45918</v>
      </c>
      <c r="F242" s="13" t="s">
        <v>16</v>
      </c>
      <c r="G24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2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42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2" s="23">
        <f>IFERROR(INDEX([1]!tb_Vendas[Crédito],MATCH(tb_Auditoria[[#This Row],[Nº CONTRATO]],[1]!tb_Vendas[Nº Contrato],0)),0)</f>
        <v>599416.71</v>
      </c>
      <c r="K242" s="22">
        <f>IFERROR(tb_Auditoria[[#This Row],[VALOR ESPERADO]] / tb_Auditoria[[#This Row],[VALOR CRÉDITO]], 0)</f>
        <v>0</v>
      </c>
      <c r="L242" s="23" t="e">
        <f>SUMIFS([1]!Motor_Comissão[Valor Previsto],[1]!Motor_Comissão[Chave], tb_Auditoria[[#This Row],[Nº CONTRATO]]&amp;"-"&amp;tb_Auditoria[[#This Row],[PARCELA ATUAL]])</f>
        <v>#REF!</v>
      </c>
      <c r="M242" s="23" t="e">
        <f>tb_Auditoria[[#This Row],[VALOR PAGO]] - tb_Auditoria[[#This Row],[VALOR ESPERADO]]</f>
        <v>#REF!</v>
      </c>
      <c r="N242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2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3" spans="1:15">
      <c r="A243" s="9">
        <v>1151519</v>
      </c>
      <c r="B243" s="10">
        <v>1</v>
      </c>
      <c r="C243" s="28">
        <v>4.4799999999999996E-3</v>
      </c>
      <c r="D243" s="12">
        <f>tb_Auditoria[[#This Row],[% TAXA RELATÓRIO]]*tb_Auditoria[[#This Row],[VALOR CRÉDITO]]</f>
        <v>2685.3868607999998</v>
      </c>
      <c r="E243" s="13">
        <v>45918</v>
      </c>
      <c r="F243" s="13" t="s">
        <v>16</v>
      </c>
      <c r="G24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4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3" s="19">
        <f>IFERROR(INDEX([1]!tb_Vendas[Crédito],MATCH(tb_Auditoria[[#This Row],[Nº CONTRATO]],[1]!tb_Vendas[Nº Contrato],0)),0)</f>
        <v>599416.71</v>
      </c>
      <c r="K243" s="21">
        <f>IFERROR(tb_Auditoria[[#This Row],[VALOR ESPERADO]] / tb_Auditoria[[#This Row],[VALOR CRÉDITO]], 0)</f>
        <v>0</v>
      </c>
      <c r="L243" s="19" t="e">
        <f>SUMIFS([1]!Motor_Comissão[Valor Previsto],[1]!Motor_Comissão[Chave], tb_Auditoria[[#This Row],[Nº CONTRATO]]&amp;"-"&amp;tb_Auditoria[[#This Row],[PARCELA ATUAL]])</f>
        <v>#REF!</v>
      </c>
      <c r="M243" s="19" t="e">
        <f>tb_Auditoria[[#This Row],[VALOR PAGO]] - tb_Auditoria[[#This Row],[VALOR ESPERADO]]</f>
        <v>#REF!</v>
      </c>
      <c r="N2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4" spans="1:15">
      <c r="A244" s="9">
        <v>1151520</v>
      </c>
      <c r="B244" s="10">
        <v>1</v>
      </c>
      <c r="C244" s="28">
        <v>4.4799999999999996E-3</v>
      </c>
      <c r="D244" s="12">
        <f>tb_Auditoria[[#This Row],[% TAXA RELATÓRIO]]*tb_Auditoria[[#This Row],[VALOR CRÉDITO]]</f>
        <v>2685.3868607999998</v>
      </c>
      <c r="E244" s="13">
        <v>45918</v>
      </c>
      <c r="F244" s="13" t="s">
        <v>16</v>
      </c>
      <c r="G24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4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4" s="19">
        <f>IFERROR(INDEX([1]!tb_Vendas[Crédito],MATCH(tb_Auditoria[[#This Row],[Nº CONTRATO]],[1]!tb_Vendas[Nº Contrato],0)),0)</f>
        <v>599416.71</v>
      </c>
      <c r="K244" s="21">
        <f>IFERROR(tb_Auditoria[[#This Row],[VALOR ESPERADO]] / tb_Auditoria[[#This Row],[VALOR CRÉDITO]], 0)</f>
        <v>0</v>
      </c>
      <c r="L244" s="19" t="e">
        <f>SUMIFS([1]!Motor_Comissão[Valor Previsto],[1]!Motor_Comissão[Chave], tb_Auditoria[[#This Row],[Nº CONTRATO]]&amp;"-"&amp;tb_Auditoria[[#This Row],[PARCELA ATUAL]])</f>
        <v>#REF!</v>
      </c>
      <c r="M244" s="19" t="e">
        <f>tb_Auditoria[[#This Row],[VALOR PAGO]] - tb_Auditoria[[#This Row],[VALOR ESPERADO]]</f>
        <v>#REF!</v>
      </c>
      <c r="N2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5" spans="1:15">
      <c r="A245" s="9">
        <v>1151521</v>
      </c>
      <c r="B245" s="10">
        <v>1</v>
      </c>
      <c r="C245" s="28">
        <v>4.6080000000000001E-3</v>
      </c>
      <c r="D245" s="12">
        <f>tb_Auditoria[[#This Row],[% TAXA RELATÓRIO]]*tb_Auditoria[[#This Row],[VALOR CRÉDITO]]</f>
        <v>2762.1121996799998</v>
      </c>
      <c r="E245" s="13">
        <v>45918</v>
      </c>
      <c r="F245" s="13" t="s">
        <v>16</v>
      </c>
      <c r="G24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4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5" s="19">
        <f>IFERROR(INDEX([1]!tb_Vendas[Crédito],MATCH(tb_Auditoria[[#This Row],[Nº CONTRATO]],[1]!tb_Vendas[Nº Contrato],0)),0)</f>
        <v>599416.71</v>
      </c>
      <c r="K245" s="21">
        <f>IFERROR(tb_Auditoria[[#This Row],[VALOR ESPERADO]] / tb_Auditoria[[#This Row],[VALOR CRÉDITO]], 0)</f>
        <v>0</v>
      </c>
      <c r="L245" s="19" t="e">
        <f>SUMIFS([1]!Motor_Comissão[Valor Previsto],[1]!Motor_Comissão[Chave], tb_Auditoria[[#This Row],[Nº CONTRATO]]&amp;"-"&amp;tb_Auditoria[[#This Row],[PARCELA ATUAL]])</f>
        <v>#REF!</v>
      </c>
      <c r="M245" s="19" t="e">
        <f>tb_Auditoria[[#This Row],[VALOR PAGO]] - tb_Auditoria[[#This Row],[VALOR ESPERADO]]</f>
        <v>#REF!</v>
      </c>
      <c r="N2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6" spans="1:15">
      <c r="A246" s="9">
        <v>1151522</v>
      </c>
      <c r="B246" s="10">
        <v>1</v>
      </c>
      <c r="C246" s="28">
        <v>4.4799999999999996E-3</v>
      </c>
      <c r="D246" s="12">
        <f>tb_Auditoria[[#This Row],[% TAXA RELATÓRIO]]*tb_Auditoria[[#This Row],[VALOR CRÉDITO]]</f>
        <v>2685.3868607999998</v>
      </c>
      <c r="E246" s="13">
        <v>45918</v>
      </c>
      <c r="F246" s="13" t="s">
        <v>16</v>
      </c>
      <c r="G24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4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6" s="19">
        <f>IFERROR(INDEX([1]!tb_Vendas[Crédito],MATCH(tb_Auditoria[[#This Row],[Nº CONTRATO]],[1]!tb_Vendas[Nº Contrato],0)),0)</f>
        <v>599416.71</v>
      </c>
      <c r="K246" s="21">
        <f>IFERROR(tb_Auditoria[[#This Row],[VALOR ESPERADO]] / tb_Auditoria[[#This Row],[VALOR CRÉDITO]], 0)</f>
        <v>0</v>
      </c>
      <c r="L246" s="19" t="e">
        <f>SUMIFS([1]!Motor_Comissão[Valor Previsto],[1]!Motor_Comissão[Chave], tb_Auditoria[[#This Row],[Nº CONTRATO]]&amp;"-"&amp;tb_Auditoria[[#This Row],[PARCELA ATUAL]])</f>
        <v>#REF!</v>
      </c>
      <c r="M246" s="19" t="e">
        <f>tb_Auditoria[[#This Row],[VALOR PAGO]] - tb_Auditoria[[#This Row],[VALOR ESPERADO]]</f>
        <v>#REF!</v>
      </c>
      <c r="N2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7" spans="1:15">
      <c r="A247" s="9">
        <v>1151523</v>
      </c>
      <c r="B247" s="10">
        <v>1</v>
      </c>
      <c r="C247" s="28">
        <v>4.9919999999999999E-3</v>
      </c>
      <c r="D247" s="12">
        <f>tb_Auditoria[[#This Row],[% TAXA RELATÓRIO]]*tb_Auditoria[[#This Row],[VALOR CRÉDITO]]</f>
        <v>2229.8415859199999</v>
      </c>
      <c r="E247" s="13">
        <v>45918</v>
      </c>
      <c r="F247" s="13" t="s">
        <v>16</v>
      </c>
      <c r="G24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4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7" s="19">
        <f>IFERROR(INDEX([1]!tb_Vendas[Crédito],MATCH(tb_Auditoria[[#This Row],[Nº CONTRATO]],[1]!tb_Vendas[Nº Contrato],0)),0)</f>
        <v>446683.01</v>
      </c>
      <c r="K247" s="21">
        <f>IFERROR(tb_Auditoria[[#This Row],[VALOR ESPERADO]] / tb_Auditoria[[#This Row],[VALOR CRÉDITO]], 0)</f>
        <v>0</v>
      </c>
      <c r="L247" s="19" t="e">
        <f>SUMIFS([1]!Motor_Comissão[Valor Previsto],[1]!Motor_Comissão[Chave], tb_Auditoria[[#This Row],[Nº CONTRATO]]&amp;"-"&amp;tb_Auditoria[[#This Row],[PARCELA ATUAL]])</f>
        <v>#REF!</v>
      </c>
      <c r="M247" s="19" t="e">
        <f>tb_Auditoria[[#This Row],[VALOR PAGO]] - tb_Auditoria[[#This Row],[VALOR ESPERADO]]</f>
        <v>#REF!</v>
      </c>
      <c r="N2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8" spans="1:15">
      <c r="A248" s="9">
        <v>1151525</v>
      </c>
      <c r="B248" s="10">
        <v>1</v>
      </c>
      <c r="C248" s="28">
        <v>4.9919999999999999E-3</v>
      </c>
      <c r="D248" s="12">
        <f>tb_Auditoria[[#This Row],[% TAXA RELATÓRIO]]*tb_Auditoria[[#This Row],[VALOR CRÉDITO]]</f>
        <v>2229.8415859199999</v>
      </c>
      <c r="E248" s="13">
        <v>45918</v>
      </c>
      <c r="F248" s="13" t="s">
        <v>16</v>
      </c>
      <c r="G24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4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8" s="19">
        <f>IFERROR(INDEX([1]!tb_Vendas[Crédito],MATCH(tb_Auditoria[[#This Row],[Nº CONTRATO]],[1]!tb_Vendas[Nº Contrato],0)),0)</f>
        <v>446683.01</v>
      </c>
      <c r="K248" s="21">
        <f>IFERROR(tb_Auditoria[[#This Row],[VALOR ESPERADO]] / tb_Auditoria[[#This Row],[VALOR CRÉDITO]], 0)</f>
        <v>0</v>
      </c>
      <c r="L248" s="19" t="e">
        <f>SUMIFS([1]!Motor_Comissão[Valor Previsto],[1]!Motor_Comissão[Chave], tb_Auditoria[[#This Row],[Nº CONTRATO]]&amp;"-"&amp;tb_Auditoria[[#This Row],[PARCELA ATUAL]])</f>
        <v>#REF!</v>
      </c>
      <c r="M248" s="19" t="e">
        <f>tb_Auditoria[[#This Row],[VALOR PAGO]] - tb_Auditoria[[#This Row],[VALOR ESPERADO]]</f>
        <v>#REF!</v>
      </c>
      <c r="N2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49" spans="1:15">
      <c r="A249" s="9">
        <v>1151526</v>
      </c>
      <c r="B249" s="10">
        <v>1</v>
      </c>
      <c r="C249" s="28">
        <v>5.1200000000000004E-3</v>
      </c>
      <c r="D249" s="12">
        <f>tb_Auditoria[[#This Row],[% TAXA RELATÓRIO]]*tb_Auditoria[[#This Row],[VALOR CRÉDITO]]</f>
        <v>2048</v>
      </c>
      <c r="E249" s="13">
        <v>45918</v>
      </c>
      <c r="F249" s="13" t="s">
        <v>16</v>
      </c>
      <c r="G24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4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4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49" s="19">
        <f>IFERROR(INDEX([1]!tb_Vendas[Crédito],MATCH(tb_Auditoria[[#This Row],[Nº CONTRATO]],[1]!tb_Vendas[Nº Contrato],0)),0)</f>
        <v>400000</v>
      </c>
      <c r="K249" s="21">
        <f>IFERROR(tb_Auditoria[[#This Row],[VALOR ESPERADO]] / tb_Auditoria[[#This Row],[VALOR CRÉDITO]], 0)</f>
        <v>0</v>
      </c>
      <c r="L249" s="19" t="e">
        <f>SUMIFS([1]!Motor_Comissão[Valor Previsto],[1]!Motor_Comissão[Chave], tb_Auditoria[[#This Row],[Nº CONTRATO]]&amp;"-"&amp;tb_Auditoria[[#This Row],[PARCELA ATUAL]])</f>
        <v>#REF!</v>
      </c>
      <c r="M249" s="19" t="e">
        <f>tb_Auditoria[[#This Row],[VALOR PAGO]] - tb_Auditoria[[#This Row],[VALOR ESPERADO]]</f>
        <v>#REF!</v>
      </c>
      <c r="N2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0" spans="1:15">
      <c r="A250" s="9">
        <v>1151527</v>
      </c>
      <c r="B250" s="10">
        <v>1</v>
      </c>
      <c r="C250" s="28">
        <v>5.1200000000000004E-3</v>
      </c>
      <c r="D250" s="12">
        <f>tb_Auditoria[[#This Row],[% TAXA RELATÓRIO]]*tb_Auditoria[[#This Row],[VALOR CRÉDITO]]</f>
        <v>2048</v>
      </c>
      <c r="E250" s="13">
        <v>45918</v>
      </c>
      <c r="F250" s="13" t="s">
        <v>16</v>
      </c>
      <c r="G25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5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0" s="19">
        <f>IFERROR(INDEX([1]!tb_Vendas[Crédito],MATCH(tb_Auditoria[[#This Row],[Nº CONTRATO]],[1]!tb_Vendas[Nº Contrato],0)),0)</f>
        <v>400000</v>
      </c>
      <c r="K250" s="21">
        <f>IFERROR(tb_Auditoria[[#This Row],[VALOR ESPERADO]] / tb_Auditoria[[#This Row],[VALOR CRÉDITO]], 0)</f>
        <v>0</v>
      </c>
      <c r="L250" s="19" t="e">
        <f>SUMIFS([1]!Motor_Comissão[Valor Previsto],[1]!Motor_Comissão[Chave], tb_Auditoria[[#This Row],[Nº CONTRATO]]&amp;"-"&amp;tb_Auditoria[[#This Row],[PARCELA ATUAL]])</f>
        <v>#REF!</v>
      </c>
      <c r="M250" s="19" t="e">
        <f>tb_Auditoria[[#This Row],[VALOR PAGO]] - tb_Auditoria[[#This Row],[VALOR ESPERADO]]</f>
        <v>#REF!</v>
      </c>
      <c r="N2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1" spans="1:15">
      <c r="A251" s="9">
        <v>1151528</v>
      </c>
      <c r="B251" s="10">
        <v>1</v>
      </c>
      <c r="C251" s="28">
        <v>5.1200000000000004E-3</v>
      </c>
      <c r="D251" s="12">
        <f>tb_Auditoria[[#This Row],[% TAXA RELATÓRIO]]*tb_Auditoria[[#This Row],[VALOR CRÉDITO]]</f>
        <v>2048</v>
      </c>
      <c r="E251" s="13">
        <v>45918</v>
      </c>
      <c r="F251" s="13" t="s">
        <v>16</v>
      </c>
      <c r="G25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5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1" s="19">
        <f>IFERROR(INDEX([1]!tb_Vendas[Crédito],MATCH(tb_Auditoria[[#This Row],[Nº CONTRATO]],[1]!tb_Vendas[Nº Contrato],0)),0)</f>
        <v>400000</v>
      </c>
      <c r="K251" s="21">
        <f>IFERROR(tb_Auditoria[[#This Row],[VALOR ESPERADO]] / tb_Auditoria[[#This Row],[VALOR CRÉDITO]], 0)</f>
        <v>0</v>
      </c>
      <c r="L251" s="19" t="e">
        <f>SUMIFS([1]!Motor_Comissão[Valor Previsto],[1]!Motor_Comissão[Chave], tb_Auditoria[[#This Row],[Nº CONTRATO]]&amp;"-"&amp;tb_Auditoria[[#This Row],[PARCELA ATUAL]])</f>
        <v>#REF!</v>
      </c>
      <c r="M251" s="19" t="e">
        <f>tb_Auditoria[[#This Row],[VALOR PAGO]] - tb_Auditoria[[#This Row],[VALOR ESPERADO]]</f>
        <v>#REF!</v>
      </c>
      <c r="N2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2" spans="1:15">
      <c r="A252" s="9">
        <v>1151529</v>
      </c>
      <c r="B252" s="10">
        <v>1</v>
      </c>
      <c r="C252" s="28">
        <v>5.1200000000000004E-3</v>
      </c>
      <c r="D252" s="12">
        <f>tb_Auditoria[[#This Row],[% TAXA RELATÓRIO]]*tb_Auditoria[[#This Row],[VALOR CRÉDITO]]</f>
        <v>2048</v>
      </c>
      <c r="E252" s="13">
        <v>45918</v>
      </c>
      <c r="F252" s="13" t="s">
        <v>16</v>
      </c>
      <c r="G25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5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2" s="19">
        <f>IFERROR(INDEX([1]!tb_Vendas[Crédito],MATCH(tb_Auditoria[[#This Row],[Nº CONTRATO]],[1]!tb_Vendas[Nº Contrato],0)),0)</f>
        <v>400000</v>
      </c>
      <c r="K252" s="21">
        <f>IFERROR(tb_Auditoria[[#This Row],[VALOR ESPERADO]] / tb_Auditoria[[#This Row],[VALOR CRÉDITO]], 0)</f>
        <v>0</v>
      </c>
      <c r="L252" s="19" t="e">
        <f>SUMIFS([1]!Motor_Comissão[Valor Previsto],[1]!Motor_Comissão[Chave], tb_Auditoria[[#This Row],[Nº CONTRATO]]&amp;"-"&amp;tb_Auditoria[[#This Row],[PARCELA ATUAL]])</f>
        <v>#REF!</v>
      </c>
      <c r="M252" s="19" t="e">
        <f>tb_Auditoria[[#This Row],[VALOR PAGO]] - tb_Auditoria[[#This Row],[VALOR ESPERADO]]</f>
        <v>#REF!</v>
      </c>
      <c r="N2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3" spans="1:15">
      <c r="A253" s="9">
        <v>1151530</v>
      </c>
      <c r="B253" s="10">
        <v>1</v>
      </c>
      <c r="C253" s="28">
        <v>5.1200000000000004E-3</v>
      </c>
      <c r="D253" s="12">
        <f>tb_Auditoria[[#This Row],[% TAXA RELATÓRIO]]*tb_Auditoria[[#This Row],[VALOR CRÉDITO]]</f>
        <v>2048</v>
      </c>
      <c r="E253" s="13">
        <v>45918</v>
      </c>
      <c r="F253" s="13" t="s">
        <v>16</v>
      </c>
      <c r="G25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5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3" s="19">
        <f>IFERROR(INDEX([1]!tb_Vendas[Crédito],MATCH(tb_Auditoria[[#This Row],[Nº CONTRATO]],[1]!tb_Vendas[Nº Contrato],0)),0)</f>
        <v>400000</v>
      </c>
      <c r="K253" s="21">
        <f>IFERROR(tb_Auditoria[[#This Row],[VALOR ESPERADO]] / tb_Auditoria[[#This Row],[VALOR CRÉDITO]], 0)</f>
        <v>0</v>
      </c>
      <c r="L253" s="19" t="e">
        <f>SUMIFS([1]!Motor_Comissão[Valor Previsto],[1]!Motor_Comissão[Chave], tb_Auditoria[[#This Row],[Nº CONTRATO]]&amp;"-"&amp;tb_Auditoria[[#This Row],[PARCELA ATUAL]])</f>
        <v>#REF!</v>
      </c>
      <c r="M253" s="19" t="e">
        <f>tb_Auditoria[[#This Row],[VALOR PAGO]] - tb_Auditoria[[#This Row],[VALOR ESPERADO]]</f>
        <v>#REF!</v>
      </c>
      <c r="N2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4" spans="1:15">
      <c r="A254" s="9">
        <v>1151532</v>
      </c>
      <c r="B254" s="10">
        <v>1</v>
      </c>
      <c r="C254" s="28">
        <v>5.1200000000000004E-3</v>
      </c>
      <c r="D254" s="12">
        <f>tb_Auditoria[[#This Row],[% TAXA RELATÓRIO]]*tb_Auditoria[[#This Row],[VALOR CRÉDITO]]</f>
        <v>2176</v>
      </c>
      <c r="E254" s="13">
        <v>45918</v>
      </c>
      <c r="F254" s="13" t="s">
        <v>16</v>
      </c>
      <c r="G25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5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4" s="19">
        <f>IFERROR(INDEX([1]!tb_Vendas[Crédito],MATCH(tb_Auditoria[[#This Row],[Nº CONTRATO]],[1]!tb_Vendas[Nº Contrato],0)),0)</f>
        <v>425000</v>
      </c>
      <c r="K254" s="21">
        <f>IFERROR(tb_Auditoria[[#This Row],[VALOR ESPERADO]] / tb_Auditoria[[#This Row],[VALOR CRÉDITO]], 0)</f>
        <v>0</v>
      </c>
      <c r="L254" s="19" t="e">
        <f>SUMIFS([1]!Motor_Comissão[Valor Previsto],[1]!Motor_Comissão[Chave], tb_Auditoria[[#This Row],[Nº CONTRATO]]&amp;"-"&amp;tb_Auditoria[[#This Row],[PARCELA ATUAL]])</f>
        <v>#REF!</v>
      </c>
      <c r="M254" s="19" t="e">
        <f>tb_Auditoria[[#This Row],[VALOR PAGO]] - tb_Auditoria[[#This Row],[VALOR ESPERADO]]</f>
        <v>#REF!</v>
      </c>
      <c r="N2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5" spans="1:15">
      <c r="A255" s="9">
        <v>1151535</v>
      </c>
      <c r="B255" s="10">
        <v>1</v>
      </c>
      <c r="C255" s="28">
        <v>4.6080000000000001E-3</v>
      </c>
      <c r="D255" s="12">
        <f>tb_Auditoria[[#This Row],[% TAXA RELATÓRIO]]*tb_Auditoria[[#This Row],[VALOR CRÉDITO]]</f>
        <v>1843.2</v>
      </c>
      <c r="E255" s="13">
        <v>45918</v>
      </c>
      <c r="F255" s="13" t="s">
        <v>16</v>
      </c>
      <c r="G25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5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5" s="19">
        <f>IFERROR(INDEX([1]!tb_Vendas[Crédito],MATCH(tb_Auditoria[[#This Row],[Nº CONTRATO]],[1]!tb_Vendas[Nº Contrato],0)),0)</f>
        <v>400000</v>
      </c>
      <c r="K255" s="21">
        <f>IFERROR(tb_Auditoria[[#This Row],[VALOR ESPERADO]] / tb_Auditoria[[#This Row],[VALOR CRÉDITO]], 0)</f>
        <v>0</v>
      </c>
      <c r="L255" s="19" t="e">
        <f>SUMIFS([1]!Motor_Comissão[Valor Previsto],[1]!Motor_Comissão[Chave], tb_Auditoria[[#This Row],[Nº CONTRATO]]&amp;"-"&amp;tb_Auditoria[[#This Row],[PARCELA ATUAL]])</f>
        <v>#REF!</v>
      </c>
      <c r="M255" s="19" t="e">
        <f>tb_Auditoria[[#This Row],[VALOR PAGO]] - tb_Auditoria[[#This Row],[VALOR ESPERADO]]</f>
        <v>#REF!</v>
      </c>
      <c r="N2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6" spans="1:15">
      <c r="A256" s="9">
        <v>1151536</v>
      </c>
      <c r="B256" s="10">
        <v>1</v>
      </c>
      <c r="C256" s="28">
        <v>4.6080000000000001E-3</v>
      </c>
      <c r="D256" s="12">
        <f>tb_Auditoria[[#This Row],[% TAXA RELATÓRIO]]*tb_Auditoria[[#This Row],[VALOR CRÉDITO]]</f>
        <v>1843.2</v>
      </c>
      <c r="E256" s="13">
        <v>45918</v>
      </c>
      <c r="F256" s="13" t="s">
        <v>16</v>
      </c>
      <c r="G25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5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6" s="19">
        <f>IFERROR(INDEX([1]!tb_Vendas[Crédito],MATCH(tb_Auditoria[[#This Row],[Nº CONTRATO]],[1]!tb_Vendas[Nº Contrato],0)),0)</f>
        <v>400000</v>
      </c>
      <c r="K256" s="21">
        <f>IFERROR(tb_Auditoria[[#This Row],[VALOR ESPERADO]] / tb_Auditoria[[#This Row],[VALOR CRÉDITO]], 0)</f>
        <v>0</v>
      </c>
      <c r="L256" s="19" t="e">
        <f>SUMIFS([1]!Motor_Comissão[Valor Previsto],[1]!Motor_Comissão[Chave], tb_Auditoria[[#This Row],[Nº CONTRATO]]&amp;"-"&amp;tb_Auditoria[[#This Row],[PARCELA ATUAL]])</f>
        <v>#REF!</v>
      </c>
      <c r="M256" s="19" t="e">
        <f>tb_Auditoria[[#This Row],[VALOR PAGO]] - tb_Auditoria[[#This Row],[VALOR ESPERADO]]</f>
        <v>#REF!</v>
      </c>
      <c r="N2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7" spans="1:15">
      <c r="A257" s="9">
        <v>1151537</v>
      </c>
      <c r="B257" s="10">
        <v>1</v>
      </c>
      <c r="C257" s="28">
        <v>5.1200000000000004E-3</v>
      </c>
      <c r="D257" s="12">
        <f>tb_Auditoria[[#This Row],[% TAXA RELATÓRIO]]*tb_Auditoria[[#This Row],[VALOR CRÉDITO]]</f>
        <v>1536.0000000000002</v>
      </c>
      <c r="E257" s="13">
        <v>45918</v>
      </c>
      <c r="F257" s="13" t="s">
        <v>16</v>
      </c>
      <c r="G25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5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7" s="19">
        <f>IFERROR(INDEX([1]!tb_Vendas[Crédito],MATCH(tb_Auditoria[[#This Row],[Nº CONTRATO]],[1]!tb_Vendas[Nº Contrato],0)),0)</f>
        <v>300000</v>
      </c>
      <c r="K257" s="21">
        <f>IFERROR(tb_Auditoria[[#This Row],[VALOR ESPERADO]] / tb_Auditoria[[#This Row],[VALOR CRÉDITO]], 0)</f>
        <v>0</v>
      </c>
      <c r="L257" s="19" t="e">
        <f>SUMIFS([1]!Motor_Comissão[Valor Previsto],[1]!Motor_Comissão[Chave], tb_Auditoria[[#This Row],[Nº CONTRATO]]&amp;"-"&amp;tb_Auditoria[[#This Row],[PARCELA ATUAL]])</f>
        <v>#REF!</v>
      </c>
      <c r="M257" s="19" t="e">
        <f>tb_Auditoria[[#This Row],[VALOR PAGO]] - tb_Auditoria[[#This Row],[VALOR ESPERADO]]</f>
        <v>#REF!</v>
      </c>
      <c r="N2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8" spans="1:15">
      <c r="A258" s="9">
        <v>1151539</v>
      </c>
      <c r="B258" s="10">
        <v>1</v>
      </c>
      <c r="C258" s="28">
        <v>5.1200000000000004E-3</v>
      </c>
      <c r="D258" s="12">
        <f>tb_Auditoria[[#This Row],[% TAXA RELATÓRIO]]*tb_Auditoria[[#This Row],[VALOR CRÉDITO]]</f>
        <v>1638.4</v>
      </c>
      <c r="E258" s="13">
        <v>45918</v>
      </c>
      <c r="F258" s="13" t="s">
        <v>16</v>
      </c>
      <c r="G25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5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8" s="19">
        <f>IFERROR(INDEX([1]!tb_Vendas[Crédito],MATCH(tb_Auditoria[[#This Row],[Nº CONTRATO]],[1]!tb_Vendas[Nº Contrato],0)),0)</f>
        <v>320000</v>
      </c>
      <c r="K258" s="21">
        <f>IFERROR(tb_Auditoria[[#This Row],[VALOR ESPERADO]] / tb_Auditoria[[#This Row],[VALOR CRÉDITO]], 0)</f>
        <v>0</v>
      </c>
      <c r="L258" s="19" t="e">
        <f>SUMIFS([1]!Motor_Comissão[Valor Previsto],[1]!Motor_Comissão[Chave], tb_Auditoria[[#This Row],[Nº CONTRATO]]&amp;"-"&amp;tb_Auditoria[[#This Row],[PARCELA ATUAL]])</f>
        <v>#REF!</v>
      </c>
      <c r="M258" s="19" t="e">
        <f>tb_Auditoria[[#This Row],[VALOR PAGO]] - tb_Auditoria[[#This Row],[VALOR ESPERADO]]</f>
        <v>#REF!</v>
      </c>
      <c r="N2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59" spans="1:15">
      <c r="A259" s="9">
        <v>1151501</v>
      </c>
      <c r="B259" s="10">
        <v>2</v>
      </c>
      <c r="C259" s="28">
        <v>4.7359999999999998E-3</v>
      </c>
      <c r="D259" s="12">
        <f>tb_Auditoria[[#This Row],[% TAXA RELATÓRIO]]*tb_Auditoria[[#This Row],[VALOR CRÉDITO]]</f>
        <v>1352.0867967999998</v>
      </c>
      <c r="E259" s="13">
        <v>45946</v>
      </c>
      <c r="F259" s="13" t="s">
        <v>16</v>
      </c>
      <c r="G25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5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5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59" s="19">
        <f>IFERROR(INDEX([1]!tb_Vendas[Crédito],MATCH(tb_Auditoria[[#This Row],[Nº CONTRATO]],[1]!tb_Vendas[Nº Contrato],0)),0)</f>
        <v>285491.3</v>
      </c>
      <c r="K259" s="21">
        <f>IFERROR(tb_Auditoria[[#This Row],[VALOR ESPERADO]] / tb_Auditoria[[#This Row],[VALOR CRÉDITO]], 0)</f>
        <v>0</v>
      </c>
      <c r="L259" s="19" t="e">
        <f>SUMIFS([1]!Motor_Comissão[Valor Previsto],[1]!Motor_Comissão[Chave], tb_Auditoria[[#This Row],[Nº CONTRATO]]&amp;"-"&amp;tb_Auditoria[[#This Row],[PARCELA ATUAL]])</f>
        <v>#REF!</v>
      </c>
      <c r="M259" s="19" t="e">
        <f>tb_Auditoria[[#This Row],[VALOR PAGO]] - tb_Auditoria[[#This Row],[VALOR ESPERADO]]</f>
        <v>#REF!</v>
      </c>
      <c r="N2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0" spans="1:15">
      <c r="A260" s="9">
        <v>1151503</v>
      </c>
      <c r="B260" s="10">
        <v>2</v>
      </c>
      <c r="C260" s="28">
        <v>4.7359999999999998E-3</v>
      </c>
      <c r="D260" s="12">
        <f>tb_Auditoria[[#This Row],[% TAXA RELATÓRIO]]*tb_Auditoria[[#This Row],[VALOR CRÉDITO]]</f>
        <v>1352.0867967999998</v>
      </c>
      <c r="E260" s="13">
        <v>45946</v>
      </c>
      <c r="F260" s="13" t="s">
        <v>16</v>
      </c>
      <c r="G26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6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0" s="19">
        <f>IFERROR(INDEX([1]!tb_Vendas[Crédito],MATCH(tb_Auditoria[[#This Row],[Nº CONTRATO]],[1]!tb_Vendas[Nº Contrato],0)),0)</f>
        <v>285491.3</v>
      </c>
      <c r="K260" s="21">
        <f>IFERROR(tb_Auditoria[[#This Row],[VALOR ESPERADO]] / tb_Auditoria[[#This Row],[VALOR CRÉDITO]], 0)</f>
        <v>0</v>
      </c>
      <c r="L260" s="19" t="e">
        <f>SUMIFS([1]!Motor_Comissão[Valor Previsto],[1]!Motor_Comissão[Chave], tb_Auditoria[[#This Row],[Nº CONTRATO]]&amp;"-"&amp;tb_Auditoria[[#This Row],[PARCELA ATUAL]])</f>
        <v>#REF!</v>
      </c>
      <c r="M260" s="19" t="e">
        <f>tb_Auditoria[[#This Row],[VALOR PAGO]] - tb_Auditoria[[#This Row],[VALOR ESPERADO]]</f>
        <v>#REF!</v>
      </c>
      <c r="N2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1" spans="1:15">
      <c r="A261" s="9">
        <v>1151505</v>
      </c>
      <c r="B261" s="10">
        <v>2</v>
      </c>
      <c r="C261" s="28">
        <v>4.7359999999999998E-3</v>
      </c>
      <c r="D261" s="12">
        <f>tb_Auditoria[[#This Row],[% TAXA RELATÓRIO]]*tb_Auditoria[[#This Row],[VALOR CRÉDITO]]</f>
        <v>1352.0867967999998</v>
      </c>
      <c r="E261" s="13">
        <v>45946</v>
      </c>
      <c r="F261" s="13" t="s">
        <v>16</v>
      </c>
      <c r="G26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6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1" s="19">
        <f>IFERROR(INDEX([1]!tb_Vendas[Crédito],MATCH(tb_Auditoria[[#This Row],[Nº CONTRATO]],[1]!tb_Vendas[Nº Contrato],0)),0)</f>
        <v>285491.3</v>
      </c>
      <c r="K261" s="21">
        <f>IFERROR(tb_Auditoria[[#This Row],[VALOR ESPERADO]] / tb_Auditoria[[#This Row],[VALOR CRÉDITO]], 0)</f>
        <v>0</v>
      </c>
      <c r="L261" s="19" t="e">
        <f>SUMIFS([1]!Motor_Comissão[Valor Previsto],[1]!Motor_Comissão[Chave], tb_Auditoria[[#This Row],[Nº CONTRATO]]&amp;"-"&amp;tb_Auditoria[[#This Row],[PARCELA ATUAL]])</f>
        <v>#REF!</v>
      </c>
      <c r="M261" s="19" t="e">
        <f>tb_Auditoria[[#This Row],[VALOR PAGO]] - tb_Auditoria[[#This Row],[VALOR ESPERADO]]</f>
        <v>#REF!</v>
      </c>
      <c r="N2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2" spans="1:15">
      <c r="A262" s="9">
        <v>1151506</v>
      </c>
      <c r="B262" s="10">
        <v>2</v>
      </c>
      <c r="C262" s="28">
        <v>4.4799999999999996E-3</v>
      </c>
      <c r="D262" s="12">
        <f>tb_Auditoria[[#This Row],[% TAXA RELATÓRIO]]*tb_Auditoria[[#This Row],[VALOR CRÉDITO]]</f>
        <v>1370.2583551999999</v>
      </c>
      <c r="E262" s="13">
        <v>45946</v>
      </c>
      <c r="F262" s="13" t="s">
        <v>16</v>
      </c>
      <c r="G26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6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2" s="19">
        <f>IFERROR(INDEX([1]!tb_Vendas[Crédito],MATCH(tb_Auditoria[[#This Row],[Nº CONTRATO]],[1]!tb_Vendas[Nº Contrato],0)),0)</f>
        <v>305861.24</v>
      </c>
      <c r="K262" s="21">
        <f>IFERROR(tb_Auditoria[[#This Row],[VALOR ESPERADO]] / tb_Auditoria[[#This Row],[VALOR CRÉDITO]], 0)</f>
        <v>0</v>
      </c>
      <c r="L262" s="19" t="e">
        <f>SUMIFS([1]!Motor_Comissão[Valor Previsto],[1]!Motor_Comissão[Chave], tb_Auditoria[[#This Row],[Nº CONTRATO]]&amp;"-"&amp;tb_Auditoria[[#This Row],[PARCELA ATUAL]])</f>
        <v>#REF!</v>
      </c>
      <c r="M262" s="19" t="e">
        <f>tb_Auditoria[[#This Row],[VALOR PAGO]] - tb_Auditoria[[#This Row],[VALOR ESPERADO]]</f>
        <v>#REF!</v>
      </c>
      <c r="N2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3" spans="1:15">
      <c r="A263" s="9">
        <v>1151507</v>
      </c>
      <c r="B263" s="10">
        <v>2</v>
      </c>
      <c r="C263" s="28">
        <v>4.4799999999999996E-3</v>
      </c>
      <c r="D263" s="12">
        <f>tb_Auditoria[[#This Row],[% TAXA RELATÓRIO]]*tb_Auditoria[[#This Row],[VALOR CRÉDITO]]</f>
        <v>1370.2583551999999</v>
      </c>
      <c r="E263" s="13">
        <v>45946</v>
      </c>
      <c r="F263" s="13" t="s">
        <v>16</v>
      </c>
      <c r="G26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6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3" s="19">
        <f>IFERROR(INDEX([1]!tb_Vendas[Crédito],MATCH(tb_Auditoria[[#This Row],[Nº CONTRATO]],[1]!tb_Vendas[Nº Contrato],0)),0)</f>
        <v>305861.24</v>
      </c>
      <c r="K263" s="21">
        <f>IFERROR(tb_Auditoria[[#This Row],[VALOR ESPERADO]] / tb_Auditoria[[#This Row],[VALOR CRÉDITO]], 0)</f>
        <v>0</v>
      </c>
      <c r="L263" s="19" t="e">
        <f>SUMIFS([1]!Motor_Comissão[Valor Previsto],[1]!Motor_Comissão[Chave], tb_Auditoria[[#This Row],[Nº CONTRATO]]&amp;"-"&amp;tb_Auditoria[[#This Row],[PARCELA ATUAL]])</f>
        <v>#REF!</v>
      </c>
      <c r="M263" s="19" t="e">
        <f>tb_Auditoria[[#This Row],[VALOR PAGO]] - tb_Auditoria[[#This Row],[VALOR ESPERADO]]</f>
        <v>#REF!</v>
      </c>
      <c r="N2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4" spans="1:15">
      <c r="A264" s="9">
        <v>1151509</v>
      </c>
      <c r="B264" s="10">
        <v>2</v>
      </c>
      <c r="C264" s="28">
        <v>4.4799999999999996E-3</v>
      </c>
      <c r="D264" s="12">
        <f>tb_Auditoria[[#This Row],[% TAXA RELATÓRIO]]*tb_Auditoria[[#This Row],[VALOR CRÉDITO]]</f>
        <v>1370.2583551999999</v>
      </c>
      <c r="E264" s="13">
        <v>45946</v>
      </c>
      <c r="F264" s="13" t="s">
        <v>16</v>
      </c>
      <c r="G26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6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4" s="19">
        <f>IFERROR(INDEX([1]!tb_Vendas[Crédito],MATCH(tb_Auditoria[[#This Row],[Nº CONTRATO]],[1]!tb_Vendas[Nº Contrato],0)),0)</f>
        <v>305861.24</v>
      </c>
      <c r="K264" s="21">
        <f>IFERROR(tb_Auditoria[[#This Row],[VALOR ESPERADO]] / tb_Auditoria[[#This Row],[VALOR CRÉDITO]], 0)</f>
        <v>0</v>
      </c>
      <c r="L264" s="19" t="e">
        <f>SUMIFS([1]!Motor_Comissão[Valor Previsto],[1]!Motor_Comissão[Chave], tb_Auditoria[[#This Row],[Nº CONTRATO]]&amp;"-"&amp;tb_Auditoria[[#This Row],[PARCELA ATUAL]])</f>
        <v>#REF!</v>
      </c>
      <c r="M264" s="19" t="e">
        <f>tb_Auditoria[[#This Row],[VALOR PAGO]] - tb_Auditoria[[#This Row],[VALOR ESPERADO]]</f>
        <v>#REF!</v>
      </c>
      <c r="N2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5" spans="1:15">
      <c r="A265" s="9">
        <v>1151510</v>
      </c>
      <c r="B265" s="10">
        <v>2</v>
      </c>
      <c r="C265" s="28">
        <v>4.4799999999999996E-3</v>
      </c>
      <c r="D265" s="12">
        <f>tb_Auditoria[[#This Row],[% TAXA RELATÓRIO]]*tb_Auditoria[[#This Row],[VALOR CRÉDITO]]</f>
        <v>1370.2583551999999</v>
      </c>
      <c r="E265" s="13">
        <v>45946</v>
      </c>
      <c r="F265" s="13" t="s">
        <v>16</v>
      </c>
      <c r="G26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6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5" s="19">
        <f>IFERROR(INDEX([1]!tb_Vendas[Crédito],MATCH(tb_Auditoria[[#This Row],[Nº CONTRATO]],[1]!tb_Vendas[Nº Contrato],0)),0)</f>
        <v>305861.24</v>
      </c>
      <c r="K265" s="21">
        <f>IFERROR(tb_Auditoria[[#This Row],[VALOR ESPERADO]] / tb_Auditoria[[#This Row],[VALOR CRÉDITO]], 0)</f>
        <v>0</v>
      </c>
      <c r="L265" s="19" t="e">
        <f>SUMIFS([1]!Motor_Comissão[Valor Previsto],[1]!Motor_Comissão[Chave], tb_Auditoria[[#This Row],[Nº CONTRATO]]&amp;"-"&amp;tb_Auditoria[[#This Row],[PARCELA ATUAL]])</f>
        <v>#REF!</v>
      </c>
      <c r="M265" s="19" t="e">
        <f>tb_Auditoria[[#This Row],[VALOR PAGO]] - tb_Auditoria[[#This Row],[VALOR ESPERADO]]</f>
        <v>#REF!</v>
      </c>
      <c r="N2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6" spans="1:15">
      <c r="A266" s="9">
        <v>1151511</v>
      </c>
      <c r="B266" s="10">
        <v>2</v>
      </c>
      <c r="C266" s="28">
        <v>4.4799999999999996E-3</v>
      </c>
      <c r="D266" s="12">
        <f>tb_Auditoria[[#This Row],[% TAXA RELATÓRIO]]*tb_Auditoria[[#This Row],[VALOR CRÉDITO]]</f>
        <v>1299.3099391999997</v>
      </c>
      <c r="E266" s="13">
        <v>45946</v>
      </c>
      <c r="F266" s="13" t="s">
        <v>16</v>
      </c>
      <c r="G26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6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6" s="19">
        <f>IFERROR(INDEX([1]!tb_Vendas[Crédito],MATCH(tb_Auditoria[[#This Row],[Nº CONTRATO]],[1]!tb_Vendas[Nº Contrato],0)),0)</f>
        <v>290024.53999999998</v>
      </c>
      <c r="K266" s="21">
        <f>IFERROR(tb_Auditoria[[#This Row],[VALOR ESPERADO]] / tb_Auditoria[[#This Row],[VALOR CRÉDITO]], 0)</f>
        <v>0</v>
      </c>
      <c r="L266" s="19" t="e">
        <f>SUMIFS([1]!Motor_Comissão[Valor Previsto],[1]!Motor_Comissão[Chave], tb_Auditoria[[#This Row],[Nº CONTRATO]]&amp;"-"&amp;tb_Auditoria[[#This Row],[PARCELA ATUAL]])</f>
        <v>#REF!</v>
      </c>
      <c r="M266" s="19" t="e">
        <f>tb_Auditoria[[#This Row],[VALOR PAGO]] - tb_Auditoria[[#This Row],[VALOR ESPERADO]]</f>
        <v>#REF!</v>
      </c>
      <c r="N2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7" spans="1:15">
      <c r="A267" s="9">
        <v>1151512</v>
      </c>
      <c r="B267" s="10">
        <v>2</v>
      </c>
      <c r="C267" s="28">
        <v>4.4799999999999996E-3</v>
      </c>
      <c r="D267" s="12">
        <f>tb_Auditoria[[#This Row],[% TAXA RELATÓRIO]]*tb_Auditoria[[#This Row],[VALOR CRÉDITO]]</f>
        <v>1299.3099391999997</v>
      </c>
      <c r="E267" s="13">
        <v>45946</v>
      </c>
      <c r="F267" s="13" t="s">
        <v>16</v>
      </c>
      <c r="G26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6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7" s="19">
        <f>IFERROR(INDEX([1]!tb_Vendas[Crédito],MATCH(tb_Auditoria[[#This Row],[Nº CONTRATO]],[1]!tb_Vendas[Nº Contrato],0)),0)</f>
        <v>290024.53999999998</v>
      </c>
      <c r="K267" s="21">
        <f>IFERROR(tb_Auditoria[[#This Row],[VALOR ESPERADO]] / tb_Auditoria[[#This Row],[VALOR CRÉDITO]], 0)</f>
        <v>0</v>
      </c>
      <c r="L267" s="19" t="e">
        <f>SUMIFS([1]!Motor_Comissão[Valor Previsto],[1]!Motor_Comissão[Chave], tb_Auditoria[[#This Row],[Nº CONTRATO]]&amp;"-"&amp;tb_Auditoria[[#This Row],[PARCELA ATUAL]])</f>
        <v>#REF!</v>
      </c>
      <c r="M267" s="19" t="e">
        <f>tb_Auditoria[[#This Row],[VALOR PAGO]] - tb_Auditoria[[#This Row],[VALOR ESPERADO]]</f>
        <v>#REF!</v>
      </c>
      <c r="N2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8" spans="1:15">
      <c r="A268" s="9">
        <v>1151514</v>
      </c>
      <c r="B268" s="10">
        <v>2</v>
      </c>
      <c r="C268" s="28">
        <v>4.4799999999999996E-3</v>
      </c>
      <c r="D268" s="12">
        <f>tb_Auditoria[[#This Row],[% TAXA RELATÓRIO]]*tb_Auditoria[[#This Row],[VALOR CRÉDITO]]</f>
        <v>2685.3868607999998</v>
      </c>
      <c r="E268" s="13">
        <v>45946</v>
      </c>
      <c r="F268" s="13" t="s">
        <v>16</v>
      </c>
      <c r="G26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6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8" s="19">
        <f>IFERROR(INDEX([1]!tb_Vendas[Crédito],MATCH(tb_Auditoria[[#This Row],[Nº CONTRATO]],[1]!tb_Vendas[Nº Contrato],0)),0)</f>
        <v>599416.71</v>
      </c>
      <c r="K268" s="21">
        <f>IFERROR(tb_Auditoria[[#This Row],[VALOR ESPERADO]] / tb_Auditoria[[#This Row],[VALOR CRÉDITO]], 0)</f>
        <v>0</v>
      </c>
      <c r="L268" s="19" t="e">
        <f>SUMIFS([1]!Motor_Comissão[Valor Previsto],[1]!Motor_Comissão[Chave], tb_Auditoria[[#This Row],[Nº CONTRATO]]&amp;"-"&amp;tb_Auditoria[[#This Row],[PARCELA ATUAL]])</f>
        <v>#REF!</v>
      </c>
      <c r="M268" s="19" t="e">
        <f>tb_Auditoria[[#This Row],[VALOR PAGO]] - tb_Auditoria[[#This Row],[VALOR ESPERADO]]</f>
        <v>#REF!</v>
      </c>
      <c r="N26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69" spans="1:15">
      <c r="A269" s="9">
        <v>1151515</v>
      </c>
      <c r="B269" s="10">
        <v>2</v>
      </c>
      <c r="C269" s="28">
        <v>4.4799999999999996E-3</v>
      </c>
      <c r="D269" s="12">
        <f>tb_Auditoria[[#This Row],[% TAXA RELATÓRIO]]*tb_Auditoria[[#This Row],[VALOR CRÉDITO]]</f>
        <v>2685.3868607999998</v>
      </c>
      <c r="E269" s="13">
        <v>45946</v>
      </c>
      <c r="F269" s="13" t="s">
        <v>16</v>
      </c>
      <c r="G26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6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6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69" s="19">
        <f>IFERROR(INDEX([1]!tb_Vendas[Crédito],MATCH(tb_Auditoria[[#This Row],[Nº CONTRATO]],[1]!tb_Vendas[Nº Contrato],0)),0)</f>
        <v>599416.71</v>
      </c>
      <c r="K269" s="21">
        <f>IFERROR(tb_Auditoria[[#This Row],[VALOR ESPERADO]] / tb_Auditoria[[#This Row],[VALOR CRÉDITO]], 0)</f>
        <v>0</v>
      </c>
      <c r="L269" s="19" t="e">
        <f>SUMIFS([1]!Motor_Comissão[Valor Previsto],[1]!Motor_Comissão[Chave], tb_Auditoria[[#This Row],[Nº CONTRATO]]&amp;"-"&amp;tb_Auditoria[[#This Row],[PARCELA ATUAL]])</f>
        <v>#REF!</v>
      </c>
      <c r="M269" s="19" t="e">
        <f>tb_Auditoria[[#This Row],[VALOR PAGO]] - tb_Auditoria[[#This Row],[VALOR ESPERADO]]</f>
        <v>#REF!</v>
      </c>
      <c r="N2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0" spans="1:15">
      <c r="A270" s="9">
        <v>1151516</v>
      </c>
      <c r="B270" s="10">
        <v>2</v>
      </c>
      <c r="C270" s="28">
        <v>4.4799999999999996E-3</v>
      </c>
      <c r="D270" s="12">
        <f>tb_Auditoria[[#This Row],[% TAXA RELATÓRIO]]*tb_Auditoria[[#This Row],[VALOR CRÉDITO]]</f>
        <v>2685.3868607999998</v>
      </c>
      <c r="E270" s="13">
        <v>45946</v>
      </c>
      <c r="F270" s="13" t="s">
        <v>16</v>
      </c>
      <c r="G27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7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0" s="19">
        <f>IFERROR(INDEX([1]!tb_Vendas[Crédito],MATCH(tb_Auditoria[[#This Row],[Nº CONTRATO]],[1]!tb_Vendas[Nº Contrato],0)),0)</f>
        <v>599416.71</v>
      </c>
      <c r="K270" s="21">
        <f>IFERROR(tb_Auditoria[[#This Row],[VALOR ESPERADO]] / tb_Auditoria[[#This Row],[VALOR CRÉDITO]], 0)</f>
        <v>0</v>
      </c>
      <c r="L270" s="19" t="e">
        <f>SUMIFS([1]!Motor_Comissão[Valor Previsto],[1]!Motor_Comissão[Chave], tb_Auditoria[[#This Row],[Nº CONTRATO]]&amp;"-"&amp;tb_Auditoria[[#This Row],[PARCELA ATUAL]])</f>
        <v>#REF!</v>
      </c>
      <c r="M270" s="19" t="e">
        <f>tb_Auditoria[[#This Row],[VALOR PAGO]] - tb_Auditoria[[#This Row],[VALOR ESPERADO]]</f>
        <v>#REF!</v>
      </c>
      <c r="N2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1" spans="1:15">
      <c r="A271" s="9">
        <v>1151517</v>
      </c>
      <c r="B271" s="10">
        <v>2</v>
      </c>
      <c r="C271" s="28">
        <v>4.4799999999999996E-3</v>
      </c>
      <c r="D271" s="12">
        <f>tb_Auditoria[[#This Row],[% TAXA RELATÓRIO]]*tb_Auditoria[[#This Row],[VALOR CRÉDITO]]</f>
        <v>2685.3868607999998</v>
      </c>
      <c r="E271" s="13">
        <v>45946</v>
      </c>
      <c r="F271" s="13" t="s">
        <v>16</v>
      </c>
      <c r="G27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7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1" s="19">
        <f>IFERROR(INDEX([1]!tb_Vendas[Crédito],MATCH(tb_Auditoria[[#This Row],[Nº CONTRATO]],[1]!tb_Vendas[Nº Contrato],0)),0)</f>
        <v>599416.71</v>
      </c>
      <c r="K271" s="21">
        <f>IFERROR(tb_Auditoria[[#This Row],[VALOR ESPERADO]] / tb_Auditoria[[#This Row],[VALOR CRÉDITO]], 0)</f>
        <v>0</v>
      </c>
      <c r="L271" s="19" t="e">
        <f>SUMIFS([1]!Motor_Comissão[Valor Previsto],[1]!Motor_Comissão[Chave], tb_Auditoria[[#This Row],[Nº CONTRATO]]&amp;"-"&amp;tb_Auditoria[[#This Row],[PARCELA ATUAL]])</f>
        <v>#REF!</v>
      </c>
      <c r="M271" s="19" t="e">
        <f>tb_Auditoria[[#This Row],[VALOR PAGO]] - tb_Auditoria[[#This Row],[VALOR ESPERADO]]</f>
        <v>#REF!</v>
      </c>
      <c r="N2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2" spans="1:15">
      <c r="A272" s="9">
        <v>1151518</v>
      </c>
      <c r="B272" s="10">
        <v>2</v>
      </c>
      <c r="C272" s="28">
        <v>4.4799999999999996E-3</v>
      </c>
      <c r="D272" s="12">
        <f>tb_Auditoria[[#This Row],[% TAXA RELATÓRIO]]*tb_Auditoria[[#This Row],[VALOR CRÉDITO]]</f>
        <v>2685.3868607999998</v>
      </c>
      <c r="E272" s="13">
        <v>45946</v>
      </c>
      <c r="F272" s="13" t="s">
        <v>16</v>
      </c>
      <c r="G27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7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2" s="19">
        <f>IFERROR(INDEX([1]!tb_Vendas[Crédito],MATCH(tb_Auditoria[[#This Row],[Nº CONTRATO]],[1]!tb_Vendas[Nº Contrato],0)),0)</f>
        <v>599416.71</v>
      </c>
      <c r="K272" s="21">
        <f>IFERROR(tb_Auditoria[[#This Row],[VALOR ESPERADO]] / tb_Auditoria[[#This Row],[VALOR CRÉDITO]], 0)</f>
        <v>0</v>
      </c>
      <c r="L272" s="19" t="e">
        <f>SUMIFS([1]!Motor_Comissão[Valor Previsto],[1]!Motor_Comissão[Chave], tb_Auditoria[[#This Row],[Nº CONTRATO]]&amp;"-"&amp;tb_Auditoria[[#This Row],[PARCELA ATUAL]])</f>
        <v>#REF!</v>
      </c>
      <c r="M272" s="19" t="e">
        <f>tb_Auditoria[[#This Row],[VALOR PAGO]] - tb_Auditoria[[#This Row],[VALOR ESPERADO]]</f>
        <v>#REF!</v>
      </c>
      <c r="N2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3" spans="1:15">
      <c r="A273" s="9">
        <v>1151519</v>
      </c>
      <c r="B273" s="10">
        <v>2</v>
      </c>
      <c r="C273" s="28">
        <v>4.4799999999999996E-3</v>
      </c>
      <c r="D273" s="12">
        <f>tb_Auditoria[[#This Row],[% TAXA RELATÓRIO]]*tb_Auditoria[[#This Row],[VALOR CRÉDITO]]</f>
        <v>2685.3868607999998</v>
      </c>
      <c r="E273" s="13">
        <v>45946</v>
      </c>
      <c r="F273" s="13" t="s">
        <v>16</v>
      </c>
      <c r="G27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7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3" s="19">
        <f>IFERROR(INDEX([1]!tb_Vendas[Crédito],MATCH(tb_Auditoria[[#This Row],[Nº CONTRATO]],[1]!tb_Vendas[Nº Contrato],0)),0)</f>
        <v>599416.71</v>
      </c>
      <c r="K273" s="21">
        <f>IFERROR(tb_Auditoria[[#This Row],[VALOR ESPERADO]] / tb_Auditoria[[#This Row],[VALOR CRÉDITO]], 0)</f>
        <v>0</v>
      </c>
      <c r="L273" s="19" t="e">
        <f>SUMIFS([1]!Motor_Comissão[Valor Previsto],[1]!Motor_Comissão[Chave], tb_Auditoria[[#This Row],[Nº CONTRATO]]&amp;"-"&amp;tb_Auditoria[[#This Row],[PARCELA ATUAL]])</f>
        <v>#REF!</v>
      </c>
      <c r="M273" s="19" t="e">
        <f>tb_Auditoria[[#This Row],[VALOR PAGO]] - tb_Auditoria[[#This Row],[VALOR ESPERADO]]</f>
        <v>#REF!</v>
      </c>
      <c r="N2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4" spans="1:15">
      <c r="A274" s="9">
        <v>1151520</v>
      </c>
      <c r="B274" s="10">
        <v>2</v>
      </c>
      <c r="C274" s="28">
        <v>4.4799999999999996E-3</v>
      </c>
      <c r="D274" s="12">
        <f>tb_Auditoria[[#This Row],[% TAXA RELATÓRIO]]*tb_Auditoria[[#This Row],[VALOR CRÉDITO]]</f>
        <v>2685.3868607999998</v>
      </c>
      <c r="E274" s="13">
        <v>45946</v>
      </c>
      <c r="F274" s="13" t="s">
        <v>16</v>
      </c>
      <c r="G27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7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4" s="19">
        <f>IFERROR(INDEX([1]!tb_Vendas[Crédito],MATCH(tb_Auditoria[[#This Row],[Nº CONTRATO]],[1]!tb_Vendas[Nº Contrato],0)),0)</f>
        <v>599416.71</v>
      </c>
      <c r="K274" s="21">
        <f>IFERROR(tb_Auditoria[[#This Row],[VALOR ESPERADO]] / tb_Auditoria[[#This Row],[VALOR CRÉDITO]], 0)</f>
        <v>0</v>
      </c>
      <c r="L274" s="19" t="e">
        <f>SUMIFS([1]!Motor_Comissão[Valor Previsto],[1]!Motor_Comissão[Chave], tb_Auditoria[[#This Row],[Nº CONTRATO]]&amp;"-"&amp;tb_Auditoria[[#This Row],[PARCELA ATUAL]])</f>
        <v>#REF!</v>
      </c>
      <c r="M274" s="19" t="e">
        <f>tb_Auditoria[[#This Row],[VALOR PAGO]] - tb_Auditoria[[#This Row],[VALOR ESPERADO]]</f>
        <v>#REF!</v>
      </c>
      <c r="N2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5" spans="1:15">
      <c r="A275" s="9">
        <v>1151521</v>
      </c>
      <c r="B275" s="10">
        <v>2</v>
      </c>
      <c r="C275" s="28">
        <v>4.4799999999999996E-3</v>
      </c>
      <c r="D275" s="12">
        <f>tb_Auditoria[[#This Row],[% TAXA RELATÓRIO]]*tb_Auditoria[[#This Row],[VALOR CRÉDITO]]</f>
        <v>2685.3868607999998</v>
      </c>
      <c r="E275" s="13">
        <v>45946</v>
      </c>
      <c r="F275" s="13" t="s">
        <v>16</v>
      </c>
      <c r="G27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7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5" s="19">
        <f>IFERROR(INDEX([1]!tb_Vendas[Crédito],MATCH(tb_Auditoria[[#This Row],[Nº CONTRATO]],[1]!tb_Vendas[Nº Contrato],0)),0)</f>
        <v>599416.71</v>
      </c>
      <c r="K275" s="21">
        <f>IFERROR(tb_Auditoria[[#This Row],[VALOR ESPERADO]] / tb_Auditoria[[#This Row],[VALOR CRÉDITO]], 0)</f>
        <v>0</v>
      </c>
      <c r="L275" s="19" t="e">
        <f>SUMIFS([1]!Motor_Comissão[Valor Previsto],[1]!Motor_Comissão[Chave], tb_Auditoria[[#This Row],[Nº CONTRATO]]&amp;"-"&amp;tb_Auditoria[[#This Row],[PARCELA ATUAL]])</f>
        <v>#REF!</v>
      </c>
      <c r="M275" s="19" t="e">
        <f>tb_Auditoria[[#This Row],[VALOR PAGO]] - tb_Auditoria[[#This Row],[VALOR ESPERADO]]</f>
        <v>#REF!</v>
      </c>
      <c r="N2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6" spans="1:15">
      <c r="A276" s="9">
        <v>1151522</v>
      </c>
      <c r="B276" s="10">
        <v>2</v>
      </c>
      <c r="C276" s="28">
        <v>4.4799999999999996E-3</v>
      </c>
      <c r="D276" s="12">
        <f>tb_Auditoria[[#This Row],[% TAXA RELATÓRIO]]*tb_Auditoria[[#This Row],[VALOR CRÉDITO]]</f>
        <v>2685.3868607999998</v>
      </c>
      <c r="E276" s="13">
        <v>45946</v>
      </c>
      <c r="F276" s="13" t="s">
        <v>16</v>
      </c>
      <c r="G27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7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6" s="19">
        <f>IFERROR(INDEX([1]!tb_Vendas[Crédito],MATCH(tb_Auditoria[[#This Row],[Nº CONTRATO]],[1]!tb_Vendas[Nº Contrato],0)),0)</f>
        <v>599416.71</v>
      </c>
      <c r="K276" s="21">
        <f>IFERROR(tb_Auditoria[[#This Row],[VALOR ESPERADO]] / tb_Auditoria[[#This Row],[VALOR CRÉDITO]], 0)</f>
        <v>0</v>
      </c>
      <c r="L276" s="19" t="e">
        <f>SUMIFS([1]!Motor_Comissão[Valor Previsto],[1]!Motor_Comissão[Chave], tb_Auditoria[[#This Row],[Nº CONTRATO]]&amp;"-"&amp;tb_Auditoria[[#This Row],[PARCELA ATUAL]])</f>
        <v>#REF!</v>
      </c>
      <c r="M276" s="19" t="e">
        <f>tb_Auditoria[[#This Row],[VALOR PAGO]] - tb_Auditoria[[#This Row],[VALOR ESPERADO]]</f>
        <v>#REF!</v>
      </c>
      <c r="N2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7" spans="1:15">
      <c r="A277" s="9">
        <v>1151523</v>
      </c>
      <c r="B277" s="10">
        <v>2</v>
      </c>
      <c r="C277" s="28">
        <v>4.9919999999999999E-3</v>
      </c>
      <c r="D277" s="12">
        <f>tb_Auditoria[[#This Row],[% TAXA RELATÓRIO]]*tb_Auditoria[[#This Row],[VALOR CRÉDITO]]</f>
        <v>2229.8415859199999</v>
      </c>
      <c r="E277" s="13">
        <v>45946</v>
      </c>
      <c r="F277" s="13" t="s">
        <v>16</v>
      </c>
      <c r="G27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7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7" s="19">
        <f>IFERROR(INDEX([1]!tb_Vendas[Crédito],MATCH(tb_Auditoria[[#This Row],[Nº CONTRATO]],[1]!tb_Vendas[Nº Contrato],0)),0)</f>
        <v>446683.01</v>
      </c>
      <c r="K277" s="21">
        <f>IFERROR(tb_Auditoria[[#This Row],[VALOR ESPERADO]] / tb_Auditoria[[#This Row],[VALOR CRÉDITO]], 0)</f>
        <v>0</v>
      </c>
      <c r="L277" s="19" t="e">
        <f>SUMIFS([1]!Motor_Comissão[Valor Previsto],[1]!Motor_Comissão[Chave], tb_Auditoria[[#This Row],[Nº CONTRATO]]&amp;"-"&amp;tb_Auditoria[[#This Row],[PARCELA ATUAL]])</f>
        <v>#REF!</v>
      </c>
      <c r="M277" s="19" t="e">
        <f>tb_Auditoria[[#This Row],[VALOR PAGO]] - tb_Auditoria[[#This Row],[VALOR ESPERADO]]</f>
        <v>#REF!</v>
      </c>
      <c r="N2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8" spans="1:15">
      <c r="A278" s="9">
        <v>1151525</v>
      </c>
      <c r="B278" s="10">
        <v>2</v>
      </c>
      <c r="C278" s="28">
        <v>4.9919999999999999E-3</v>
      </c>
      <c r="D278" s="12">
        <f>tb_Auditoria[[#This Row],[% TAXA RELATÓRIO]]*tb_Auditoria[[#This Row],[VALOR CRÉDITO]]</f>
        <v>2229.8415859199999</v>
      </c>
      <c r="E278" s="13">
        <v>45946</v>
      </c>
      <c r="F278" s="13" t="s">
        <v>16</v>
      </c>
      <c r="G27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7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8" s="19">
        <f>IFERROR(INDEX([1]!tb_Vendas[Crédito],MATCH(tb_Auditoria[[#This Row],[Nº CONTRATO]],[1]!tb_Vendas[Nº Contrato],0)),0)</f>
        <v>446683.01</v>
      </c>
      <c r="K278" s="21">
        <f>IFERROR(tb_Auditoria[[#This Row],[VALOR ESPERADO]] / tb_Auditoria[[#This Row],[VALOR CRÉDITO]], 0)</f>
        <v>0</v>
      </c>
      <c r="L278" s="19" t="e">
        <f>SUMIFS([1]!Motor_Comissão[Valor Previsto],[1]!Motor_Comissão[Chave], tb_Auditoria[[#This Row],[Nº CONTRATO]]&amp;"-"&amp;tb_Auditoria[[#This Row],[PARCELA ATUAL]])</f>
        <v>#REF!</v>
      </c>
      <c r="M278" s="19" t="e">
        <f>tb_Auditoria[[#This Row],[VALOR PAGO]] - tb_Auditoria[[#This Row],[VALOR ESPERADO]]</f>
        <v>#REF!</v>
      </c>
      <c r="N2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79" spans="1:15">
      <c r="A279" s="9">
        <v>1151526</v>
      </c>
      <c r="B279" s="10">
        <v>2</v>
      </c>
      <c r="C279" s="28">
        <v>5.1200000000000004E-3</v>
      </c>
      <c r="D279" s="12">
        <f>tb_Auditoria[[#This Row],[% TAXA RELATÓRIO]]*tb_Auditoria[[#This Row],[VALOR CRÉDITO]]</f>
        <v>2048</v>
      </c>
      <c r="E279" s="13">
        <v>45946</v>
      </c>
      <c r="F279" s="13" t="s">
        <v>16</v>
      </c>
      <c r="G27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7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7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79" s="19">
        <f>IFERROR(INDEX([1]!tb_Vendas[Crédito],MATCH(tb_Auditoria[[#This Row],[Nº CONTRATO]],[1]!tb_Vendas[Nº Contrato],0)),0)</f>
        <v>400000</v>
      </c>
      <c r="K279" s="21">
        <f>IFERROR(tb_Auditoria[[#This Row],[VALOR ESPERADO]] / tb_Auditoria[[#This Row],[VALOR CRÉDITO]], 0)</f>
        <v>0</v>
      </c>
      <c r="L279" s="19" t="e">
        <f>SUMIFS([1]!Motor_Comissão[Valor Previsto],[1]!Motor_Comissão[Chave], tb_Auditoria[[#This Row],[Nº CONTRATO]]&amp;"-"&amp;tb_Auditoria[[#This Row],[PARCELA ATUAL]])</f>
        <v>#REF!</v>
      </c>
      <c r="M279" s="19" t="e">
        <f>tb_Auditoria[[#This Row],[VALOR PAGO]] - tb_Auditoria[[#This Row],[VALOR ESPERADO]]</f>
        <v>#REF!</v>
      </c>
      <c r="N2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0" spans="1:15">
      <c r="A280" s="9">
        <v>1151527</v>
      </c>
      <c r="B280" s="10">
        <v>2</v>
      </c>
      <c r="C280" s="28">
        <v>5.1200000000000004E-3</v>
      </c>
      <c r="D280" s="12">
        <f>tb_Auditoria[[#This Row],[% TAXA RELATÓRIO]]*tb_Auditoria[[#This Row],[VALOR CRÉDITO]]</f>
        <v>2048</v>
      </c>
      <c r="E280" s="13">
        <v>45946</v>
      </c>
      <c r="F280" s="13" t="s">
        <v>16</v>
      </c>
      <c r="G28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8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0" s="19">
        <f>IFERROR(INDEX([1]!tb_Vendas[Crédito],MATCH(tb_Auditoria[[#This Row],[Nº CONTRATO]],[1]!tb_Vendas[Nº Contrato],0)),0)</f>
        <v>400000</v>
      </c>
      <c r="K280" s="21">
        <f>IFERROR(tb_Auditoria[[#This Row],[VALOR ESPERADO]] / tb_Auditoria[[#This Row],[VALOR CRÉDITO]], 0)</f>
        <v>0</v>
      </c>
      <c r="L280" s="19" t="e">
        <f>SUMIFS([1]!Motor_Comissão[Valor Previsto],[1]!Motor_Comissão[Chave], tb_Auditoria[[#This Row],[Nº CONTRATO]]&amp;"-"&amp;tb_Auditoria[[#This Row],[PARCELA ATUAL]])</f>
        <v>#REF!</v>
      </c>
      <c r="M280" s="19" t="e">
        <f>tb_Auditoria[[#This Row],[VALOR PAGO]] - tb_Auditoria[[#This Row],[VALOR ESPERADO]]</f>
        <v>#REF!</v>
      </c>
      <c r="N2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1" spans="1:15">
      <c r="A281" s="9">
        <v>1151528</v>
      </c>
      <c r="B281" s="10">
        <v>2</v>
      </c>
      <c r="C281" s="28">
        <v>5.1200000000000004E-3</v>
      </c>
      <c r="D281" s="12">
        <f>tb_Auditoria[[#This Row],[% TAXA RELATÓRIO]]*tb_Auditoria[[#This Row],[VALOR CRÉDITO]]</f>
        <v>2048</v>
      </c>
      <c r="E281" s="13">
        <v>45946</v>
      </c>
      <c r="F281" s="13" t="s">
        <v>16</v>
      </c>
      <c r="G28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8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1" s="19">
        <f>IFERROR(INDEX([1]!tb_Vendas[Crédito],MATCH(tb_Auditoria[[#This Row],[Nº CONTRATO]],[1]!tb_Vendas[Nº Contrato],0)),0)</f>
        <v>400000</v>
      </c>
      <c r="K281" s="21">
        <f>IFERROR(tb_Auditoria[[#This Row],[VALOR ESPERADO]] / tb_Auditoria[[#This Row],[VALOR CRÉDITO]], 0)</f>
        <v>0</v>
      </c>
      <c r="L281" s="19" t="e">
        <f>SUMIFS([1]!Motor_Comissão[Valor Previsto],[1]!Motor_Comissão[Chave], tb_Auditoria[[#This Row],[Nº CONTRATO]]&amp;"-"&amp;tb_Auditoria[[#This Row],[PARCELA ATUAL]])</f>
        <v>#REF!</v>
      </c>
      <c r="M281" s="19" t="e">
        <f>tb_Auditoria[[#This Row],[VALOR PAGO]] - tb_Auditoria[[#This Row],[VALOR ESPERADO]]</f>
        <v>#REF!</v>
      </c>
      <c r="N2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2" spans="1:15">
      <c r="A282" s="9">
        <v>1151529</v>
      </c>
      <c r="B282" s="10">
        <v>2</v>
      </c>
      <c r="C282" s="28">
        <v>5.1200000000000004E-3</v>
      </c>
      <c r="D282" s="12">
        <f>tb_Auditoria[[#This Row],[% TAXA RELATÓRIO]]*tb_Auditoria[[#This Row],[VALOR CRÉDITO]]</f>
        <v>2048</v>
      </c>
      <c r="E282" s="13">
        <v>45946</v>
      </c>
      <c r="F282" s="13" t="s">
        <v>16</v>
      </c>
      <c r="G28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8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2" s="19">
        <f>IFERROR(INDEX([1]!tb_Vendas[Crédito],MATCH(tb_Auditoria[[#This Row],[Nº CONTRATO]],[1]!tb_Vendas[Nº Contrato],0)),0)</f>
        <v>400000</v>
      </c>
      <c r="K282" s="21">
        <f>IFERROR(tb_Auditoria[[#This Row],[VALOR ESPERADO]] / tb_Auditoria[[#This Row],[VALOR CRÉDITO]], 0)</f>
        <v>0</v>
      </c>
      <c r="L282" s="19" t="e">
        <f>SUMIFS([1]!Motor_Comissão[Valor Previsto],[1]!Motor_Comissão[Chave], tb_Auditoria[[#This Row],[Nº CONTRATO]]&amp;"-"&amp;tb_Auditoria[[#This Row],[PARCELA ATUAL]])</f>
        <v>#REF!</v>
      </c>
      <c r="M282" s="19" t="e">
        <f>tb_Auditoria[[#This Row],[VALOR PAGO]] - tb_Auditoria[[#This Row],[VALOR ESPERADO]]</f>
        <v>#REF!</v>
      </c>
      <c r="N2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3" spans="1:15">
      <c r="A283" s="9">
        <v>1151530</v>
      </c>
      <c r="B283" s="10">
        <v>2</v>
      </c>
      <c r="C283" s="28">
        <v>5.1200000000000004E-3</v>
      </c>
      <c r="D283" s="12">
        <f>tb_Auditoria[[#This Row],[% TAXA RELATÓRIO]]*tb_Auditoria[[#This Row],[VALOR CRÉDITO]]</f>
        <v>2048</v>
      </c>
      <c r="E283" s="13">
        <v>45946</v>
      </c>
      <c r="F283" s="13" t="s">
        <v>16</v>
      </c>
      <c r="G28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8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3" s="19">
        <f>IFERROR(INDEX([1]!tb_Vendas[Crédito],MATCH(tb_Auditoria[[#This Row],[Nº CONTRATO]],[1]!tb_Vendas[Nº Contrato],0)),0)</f>
        <v>400000</v>
      </c>
      <c r="K283" s="21">
        <f>IFERROR(tb_Auditoria[[#This Row],[VALOR ESPERADO]] / tb_Auditoria[[#This Row],[VALOR CRÉDITO]], 0)</f>
        <v>0</v>
      </c>
      <c r="L283" s="19" t="e">
        <f>SUMIFS([1]!Motor_Comissão[Valor Previsto],[1]!Motor_Comissão[Chave], tb_Auditoria[[#This Row],[Nº CONTRATO]]&amp;"-"&amp;tb_Auditoria[[#This Row],[PARCELA ATUAL]])</f>
        <v>#REF!</v>
      </c>
      <c r="M283" s="19" t="e">
        <f>tb_Auditoria[[#This Row],[VALOR PAGO]] - tb_Auditoria[[#This Row],[VALOR ESPERADO]]</f>
        <v>#REF!</v>
      </c>
      <c r="N2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4" spans="1:15">
      <c r="A284" s="9">
        <v>1151532</v>
      </c>
      <c r="B284" s="10">
        <v>2</v>
      </c>
      <c r="C284" s="28">
        <v>5.3200000000000001E-3</v>
      </c>
      <c r="D284" s="12">
        <f>tb_Auditoria[[#This Row],[% TAXA RELATÓRIO]]*tb_Auditoria[[#This Row],[VALOR CRÉDITO]]</f>
        <v>2261</v>
      </c>
      <c r="E284" s="13">
        <v>45946</v>
      </c>
      <c r="F284" s="13" t="s">
        <v>16</v>
      </c>
      <c r="G28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8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4" s="19">
        <f>IFERROR(INDEX([1]!tb_Vendas[Crédito],MATCH(tb_Auditoria[[#This Row],[Nº CONTRATO]],[1]!tb_Vendas[Nº Contrato],0)),0)</f>
        <v>425000</v>
      </c>
      <c r="K284" s="21">
        <f>IFERROR(tb_Auditoria[[#This Row],[VALOR ESPERADO]] / tb_Auditoria[[#This Row],[VALOR CRÉDITO]], 0)</f>
        <v>0</v>
      </c>
      <c r="L284" s="19" t="e">
        <f>SUMIFS([1]!Motor_Comissão[Valor Previsto],[1]!Motor_Comissão[Chave], tb_Auditoria[[#This Row],[Nº CONTRATO]]&amp;"-"&amp;tb_Auditoria[[#This Row],[PARCELA ATUAL]])</f>
        <v>#REF!</v>
      </c>
      <c r="M284" s="19" t="e">
        <f>tb_Auditoria[[#This Row],[VALOR PAGO]] - tb_Auditoria[[#This Row],[VALOR ESPERADO]]</f>
        <v>#REF!</v>
      </c>
      <c r="N2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5" spans="1:15">
      <c r="A285" s="9">
        <v>1151535</v>
      </c>
      <c r="B285" s="10">
        <v>2</v>
      </c>
      <c r="C285" s="28">
        <v>4.7879999999999997E-3</v>
      </c>
      <c r="D285" s="12">
        <f>tb_Auditoria[[#This Row],[% TAXA RELATÓRIO]]*tb_Auditoria[[#This Row],[VALOR CRÉDITO]]</f>
        <v>1915.1999999999998</v>
      </c>
      <c r="E285" s="13">
        <v>45946</v>
      </c>
      <c r="F285" s="13" t="s">
        <v>16</v>
      </c>
      <c r="G28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8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5" s="19">
        <f>IFERROR(INDEX([1]!tb_Vendas[Crédito],MATCH(tb_Auditoria[[#This Row],[Nº CONTRATO]],[1]!tb_Vendas[Nº Contrato],0)),0)</f>
        <v>400000</v>
      </c>
      <c r="K285" s="21">
        <f>IFERROR(tb_Auditoria[[#This Row],[VALOR ESPERADO]] / tb_Auditoria[[#This Row],[VALOR CRÉDITO]], 0)</f>
        <v>0</v>
      </c>
      <c r="L285" s="19" t="e">
        <f>SUMIFS([1]!Motor_Comissão[Valor Previsto],[1]!Motor_Comissão[Chave], tb_Auditoria[[#This Row],[Nº CONTRATO]]&amp;"-"&amp;tb_Auditoria[[#This Row],[PARCELA ATUAL]])</f>
        <v>#REF!</v>
      </c>
      <c r="M285" s="19" t="e">
        <f>tb_Auditoria[[#This Row],[VALOR PAGO]] - tb_Auditoria[[#This Row],[VALOR ESPERADO]]</f>
        <v>#REF!</v>
      </c>
      <c r="N2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6" spans="1:15">
      <c r="A286" s="9">
        <v>1151536</v>
      </c>
      <c r="B286" s="10">
        <v>2</v>
      </c>
      <c r="C286" s="28">
        <v>4.7879999999999997E-3</v>
      </c>
      <c r="D286" s="12">
        <f>tb_Auditoria[[#This Row],[% TAXA RELATÓRIO]]*tb_Auditoria[[#This Row],[VALOR CRÉDITO]]</f>
        <v>1915.1999999999998</v>
      </c>
      <c r="E286" s="13">
        <v>45946</v>
      </c>
      <c r="F286" s="13" t="s">
        <v>16</v>
      </c>
      <c r="G28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8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6" s="19">
        <f>IFERROR(INDEX([1]!tb_Vendas[Crédito],MATCH(tb_Auditoria[[#This Row],[Nº CONTRATO]],[1]!tb_Vendas[Nº Contrato],0)),0)</f>
        <v>400000</v>
      </c>
      <c r="K286" s="21">
        <f>IFERROR(tb_Auditoria[[#This Row],[VALOR ESPERADO]] / tb_Auditoria[[#This Row],[VALOR CRÉDITO]], 0)</f>
        <v>0</v>
      </c>
      <c r="L286" s="19" t="e">
        <f>SUMIFS([1]!Motor_Comissão[Valor Previsto],[1]!Motor_Comissão[Chave], tb_Auditoria[[#This Row],[Nº CONTRATO]]&amp;"-"&amp;tb_Auditoria[[#This Row],[PARCELA ATUAL]])</f>
        <v>#REF!</v>
      </c>
      <c r="M286" s="19" t="e">
        <f>tb_Auditoria[[#This Row],[VALOR PAGO]] - tb_Auditoria[[#This Row],[VALOR ESPERADO]]</f>
        <v>#REF!</v>
      </c>
      <c r="N2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7" spans="1:15">
      <c r="A287" s="9">
        <v>1151537</v>
      </c>
      <c r="B287" s="10">
        <v>2</v>
      </c>
      <c r="C287" s="28">
        <v>4.8640000000000003E-3</v>
      </c>
      <c r="D287" s="12">
        <f>tb_Auditoria[[#This Row],[% TAXA RELATÓRIO]]*tb_Auditoria[[#This Row],[VALOR CRÉDITO]]</f>
        <v>1459.2</v>
      </c>
      <c r="E287" s="13">
        <v>45946</v>
      </c>
      <c r="F287" s="13" t="s">
        <v>16</v>
      </c>
      <c r="G28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8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7" s="19">
        <f>IFERROR(INDEX([1]!tb_Vendas[Crédito],MATCH(tb_Auditoria[[#This Row],[Nº CONTRATO]],[1]!tb_Vendas[Nº Contrato],0)),0)</f>
        <v>300000</v>
      </c>
      <c r="K287" s="21">
        <f>IFERROR(tb_Auditoria[[#This Row],[VALOR ESPERADO]] / tb_Auditoria[[#This Row],[VALOR CRÉDITO]], 0)</f>
        <v>0</v>
      </c>
      <c r="L287" s="19" t="e">
        <f>SUMIFS([1]!Motor_Comissão[Valor Previsto],[1]!Motor_Comissão[Chave], tb_Auditoria[[#This Row],[Nº CONTRATO]]&amp;"-"&amp;tb_Auditoria[[#This Row],[PARCELA ATUAL]])</f>
        <v>#REF!</v>
      </c>
      <c r="M287" s="19" t="e">
        <f>tb_Auditoria[[#This Row],[VALOR PAGO]] - tb_Auditoria[[#This Row],[VALOR ESPERADO]]</f>
        <v>#REF!</v>
      </c>
      <c r="N2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8" spans="1:15">
      <c r="A288" s="9">
        <v>1151539</v>
      </c>
      <c r="B288" s="10">
        <v>2</v>
      </c>
      <c r="C288" s="28">
        <v>4.8640000000000003E-3</v>
      </c>
      <c r="D288" s="12">
        <f>tb_Auditoria[[#This Row],[% TAXA RELATÓRIO]]*tb_Auditoria[[#This Row],[VALOR CRÉDITO]]</f>
        <v>1556.48</v>
      </c>
      <c r="E288" s="13">
        <v>45946</v>
      </c>
      <c r="F288" s="13" t="s">
        <v>16</v>
      </c>
      <c r="G28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8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8" s="19">
        <f>IFERROR(INDEX([1]!tb_Vendas[Crédito],MATCH(tb_Auditoria[[#This Row],[Nº CONTRATO]],[1]!tb_Vendas[Nº Contrato],0)),0)</f>
        <v>320000</v>
      </c>
      <c r="K288" s="21">
        <f>IFERROR(tb_Auditoria[[#This Row],[VALOR ESPERADO]] / tb_Auditoria[[#This Row],[VALOR CRÉDITO]], 0)</f>
        <v>0</v>
      </c>
      <c r="L288" s="19" t="e">
        <f>SUMIFS([1]!Motor_Comissão[Valor Previsto],[1]!Motor_Comissão[Chave], tb_Auditoria[[#This Row],[Nº CONTRATO]]&amp;"-"&amp;tb_Auditoria[[#This Row],[PARCELA ATUAL]])</f>
        <v>#REF!</v>
      </c>
      <c r="M288" s="19" t="e">
        <f>tb_Auditoria[[#This Row],[VALOR PAGO]] - tb_Auditoria[[#This Row],[VALOR ESPERADO]]</f>
        <v>#REF!</v>
      </c>
      <c r="N2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89" spans="1:15">
      <c r="A289" s="9">
        <v>1151501</v>
      </c>
      <c r="B289" s="10">
        <v>3</v>
      </c>
      <c r="C289" s="28">
        <v>4.7359999999999998E-3</v>
      </c>
      <c r="D289" s="12">
        <f>tb_Auditoria[[#This Row],[% TAXA RELATÓRIO]]*tb_Auditoria[[#This Row],[VALOR CRÉDITO]]</f>
        <v>1352.0867967999998</v>
      </c>
      <c r="E289" s="13">
        <v>45980</v>
      </c>
      <c r="F289" s="13" t="s">
        <v>16</v>
      </c>
      <c r="G28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8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8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89" s="19">
        <f>IFERROR(INDEX([1]!tb_Vendas[Crédito],MATCH(tb_Auditoria[[#This Row],[Nº CONTRATO]],[1]!tb_Vendas[Nº Contrato],0)),0)</f>
        <v>285491.3</v>
      </c>
      <c r="K289" s="21">
        <f>IFERROR(tb_Auditoria[[#This Row],[VALOR ESPERADO]] / tb_Auditoria[[#This Row],[VALOR CRÉDITO]], 0)</f>
        <v>0</v>
      </c>
      <c r="L289" s="19" t="e">
        <f>SUMIFS([1]!Motor_Comissão[Valor Previsto],[1]!Motor_Comissão[Chave], tb_Auditoria[[#This Row],[Nº CONTRATO]]&amp;"-"&amp;tb_Auditoria[[#This Row],[PARCELA ATUAL]])</f>
        <v>#REF!</v>
      </c>
      <c r="M289" s="19" t="e">
        <f>tb_Auditoria[[#This Row],[VALOR PAGO]] - tb_Auditoria[[#This Row],[VALOR ESPERADO]]</f>
        <v>#REF!</v>
      </c>
      <c r="N2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0" spans="1:15">
      <c r="A290" s="9">
        <v>1151503</v>
      </c>
      <c r="B290" s="10">
        <v>3</v>
      </c>
      <c r="C290" s="28">
        <v>4.7359999999999998E-3</v>
      </c>
      <c r="D290" s="12">
        <f>tb_Auditoria[[#This Row],[% TAXA RELATÓRIO]]*tb_Auditoria[[#This Row],[VALOR CRÉDITO]]</f>
        <v>1352.0867967999998</v>
      </c>
      <c r="E290" s="13">
        <v>45980</v>
      </c>
      <c r="F290" s="13" t="s">
        <v>16</v>
      </c>
      <c r="G29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9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0" s="19">
        <f>IFERROR(INDEX([1]!tb_Vendas[Crédito],MATCH(tb_Auditoria[[#This Row],[Nº CONTRATO]],[1]!tb_Vendas[Nº Contrato],0)),0)</f>
        <v>285491.3</v>
      </c>
      <c r="K290" s="21">
        <f>IFERROR(tb_Auditoria[[#This Row],[VALOR ESPERADO]] / tb_Auditoria[[#This Row],[VALOR CRÉDITO]], 0)</f>
        <v>0</v>
      </c>
      <c r="L290" s="19" t="e">
        <f>SUMIFS([1]!Motor_Comissão[Valor Previsto],[1]!Motor_Comissão[Chave], tb_Auditoria[[#This Row],[Nº CONTRATO]]&amp;"-"&amp;tb_Auditoria[[#This Row],[PARCELA ATUAL]])</f>
        <v>#REF!</v>
      </c>
      <c r="M290" s="19" t="e">
        <f>tb_Auditoria[[#This Row],[VALOR PAGO]] - tb_Auditoria[[#This Row],[VALOR ESPERADO]]</f>
        <v>#REF!</v>
      </c>
      <c r="N2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1" spans="1:15">
      <c r="A291" s="9">
        <v>1151505</v>
      </c>
      <c r="B291" s="10">
        <v>3</v>
      </c>
      <c r="C291" s="28">
        <v>4.7359999999999998E-3</v>
      </c>
      <c r="D291" s="12">
        <f>tb_Auditoria[[#This Row],[% TAXA RELATÓRIO]]*tb_Auditoria[[#This Row],[VALOR CRÉDITO]]</f>
        <v>1352.0867967999998</v>
      </c>
      <c r="E291" s="13">
        <v>45980</v>
      </c>
      <c r="F291" s="13" t="s">
        <v>16</v>
      </c>
      <c r="G29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9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1" s="19">
        <f>IFERROR(INDEX([1]!tb_Vendas[Crédito],MATCH(tb_Auditoria[[#This Row],[Nº CONTRATO]],[1]!tb_Vendas[Nº Contrato],0)),0)</f>
        <v>285491.3</v>
      </c>
      <c r="K291" s="21">
        <f>IFERROR(tb_Auditoria[[#This Row],[VALOR ESPERADO]] / tb_Auditoria[[#This Row],[VALOR CRÉDITO]], 0)</f>
        <v>0</v>
      </c>
      <c r="L291" s="19" t="e">
        <f>SUMIFS([1]!Motor_Comissão[Valor Previsto],[1]!Motor_Comissão[Chave], tb_Auditoria[[#This Row],[Nº CONTRATO]]&amp;"-"&amp;tb_Auditoria[[#This Row],[PARCELA ATUAL]])</f>
        <v>#REF!</v>
      </c>
      <c r="M291" s="19" t="e">
        <f>tb_Auditoria[[#This Row],[VALOR PAGO]] - tb_Auditoria[[#This Row],[VALOR ESPERADO]]</f>
        <v>#REF!</v>
      </c>
      <c r="N2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2" spans="1:15">
      <c r="A292" s="9">
        <v>1151506</v>
      </c>
      <c r="B292" s="10">
        <v>3</v>
      </c>
      <c r="C292" s="28">
        <v>4.4799999999999996E-3</v>
      </c>
      <c r="D292" s="12">
        <f>tb_Auditoria[[#This Row],[% TAXA RELATÓRIO]]*tb_Auditoria[[#This Row],[VALOR CRÉDITO]]</f>
        <v>1370.2583551999999</v>
      </c>
      <c r="E292" s="13">
        <v>45980</v>
      </c>
      <c r="F292" s="13" t="s">
        <v>16</v>
      </c>
      <c r="G29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9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2" s="19">
        <f>IFERROR(INDEX([1]!tb_Vendas[Crédito],MATCH(tb_Auditoria[[#This Row],[Nº CONTRATO]],[1]!tb_Vendas[Nº Contrato],0)),0)</f>
        <v>305861.24</v>
      </c>
      <c r="K292" s="21">
        <f>IFERROR(tb_Auditoria[[#This Row],[VALOR ESPERADO]] / tb_Auditoria[[#This Row],[VALOR CRÉDITO]], 0)</f>
        <v>0</v>
      </c>
      <c r="L292" s="19" t="e">
        <f>SUMIFS([1]!Motor_Comissão[Valor Previsto],[1]!Motor_Comissão[Chave], tb_Auditoria[[#This Row],[Nº CONTRATO]]&amp;"-"&amp;tb_Auditoria[[#This Row],[PARCELA ATUAL]])</f>
        <v>#REF!</v>
      </c>
      <c r="M292" s="19" t="e">
        <f>tb_Auditoria[[#This Row],[VALOR PAGO]] - tb_Auditoria[[#This Row],[VALOR ESPERADO]]</f>
        <v>#REF!</v>
      </c>
      <c r="N2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3" spans="1:15">
      <c r="A293" s="9">
        <v>1151507</v>
      </c>
      <c r="B293" s="10">
        <v>3</v>
      </c>
      <c r="C293" s="28">
        <v>4.4799999999999996E-3</v>
      </c>
      <c r="D293" s="12">
        <f>tb_Auditoria[[#This Row],[% TAXA RELATÓRIO]]*tb_Auditoria[[#This Row],[VALOR CRÉDITO]]</f>
        <v>1370.2583551999999</v>
      </c>
      <c r="E293" s="13">
        <v>45980</v>
      </c>
      <c r="F293" s="13" t="s">
        <v>16</v>
      </c>
      <c r="G29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9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3" s="19">
        <f>IFERROR(INDEX([1]!tb_Vendas[Crédito],MATCH(tb_Auditoria[[#This Row],[Nº CONTRATO]],[1]!tb_Vendas[Nº Contrato],0)),0)</f>
        <v>305861.24</v>
      </c>
      <c r="K293" s="21">
        <f>IFERROR(tb_Auditoria[[#This Row],[VALOR ESPERADO]] / tb_Auditoria[[#This Row],[VALOR CRÉDITO]], 0)</f>
        <v>0</v>
      </c>
      <c r="L293" s="19" t="e">
        <f>SUMIFS([1]!Motor_Comissão[Valor Previsto],[1]!Motor_Comissão[Chave], tb_Auditoria[[#This Row],[Nº CONTRATO]]&amp;"-"&amp;tb_Auditoria[[#This Row],[PARCELA ATUAL]])</f>
        <v>#REF!</v>
      </c>
      <c r="M293" s="19" t="e">
        <f>tb_Auditoria[[#This Row],[VALOR PAGO]] - tb_Auditoria[[#This Row],[VALOR ESPERADO]]</f>
        <v>#REF!</v>
      </c>
      <c r="N2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4" spans="1:15">
      <c r="A294" s="9">
        <v>1151509</v>
      </c>
      <c r="B294" s="10">
        <v>3</v>
      </c>
      <c r="C294" s="28">
        <v>4.4799999999999996E-3</v>
      </c>
      <c r="D294" s="12">
        <f>tb_Auditoria[[#This Row],[% TAXA RELATÓRIO]]*tb_Auditoria[[#This Row],[VALOR CRÉDITO]]</f>
        <v>1370.2583551999999</v>
      </c>
      <c r="E294" s="13">
        <v>45980</v>
      </c>
      <c r="F294" s="13" t="s">
        <v>16</v>
      </c>
      <c r="G29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9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4" s="19">
        <f>IFERROR(INDEX([1]!tb_Vendas[Crédito],MATCH(tb_Auditoria[[#This Row],[Nº CONTRATO]],[1]!tb_Vendas[Nº Contrato],0)),0)</f>
        <v>305861.24</v>
      </c>
      <c r="K294" s="21">
        <f>IFERROR(tb_Auditoria[[#This Row],[VALOR ESPERADO]] / tb_Auditoria[[#This Row],[VALOR CRÉDITO]], 0)</f>
        <v>0</v>
      </c>
      <c r="L294" s="19" t="e">
        <f>SUMIFS([1]!Motor_Comissão[Valor Previsto],[1]!Motor_Comissão[Chave], tb_Auditoria[[#This Row],[Nº CONTRATO]]&amp;"-"&amp;tb_Auditoria[[#This Row],[PARCELA ATUAL]])</f>
        <v>#REF!</v>
      </c>
      <c r="M294" s="19" t="e">
        <f>tb_Auditoria[[#This Row],[VALOR PAGO]] - tb_Auditoria[[#This Row],[VALOR ESPERADO]]</f>
        <v>#REF!</v>
      </c>
      <c r="N29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5" spans="1:15">
      <c r="A295" s="9">
        <v>1151510</v>
      </c>
      <c r="B295" s="10">
        <v>3</v>
      </c>
      <c r="C295" s="28">
        <v>4.4799999999999996E-3</v>
      </c>
      <c r="D295" s="12">
        <f>tb_Auditoria[[#This Row],[% TAXA RELATÓRIO]]*tb_Auditoria[[#This Row],[VALOR CRÉDITO]]</f>
        <v>1370.2583551999999</v>
      </c>
      <c r="E295" s="13">
        <v>45980</v>
      </c>
      <c r="F295" s="13" t="s">
        <v>16</v>
      </c>
      <c r="G29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9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5" s="19">
        <f>IFERROR(INDEX([1]!tb_Vendas[Crédito],MATCH(tb_Auditoria[[#This Row],[Nº CONTRATO]],[1]!tb_Vendas[Nº Contrato],0)),0)</f>
        <v>305861.24</v>
      </c>
      <c r="K295" s="21">
        <f>IFERROR(tb_Auditoria[[#This Row],[VALOR ESPERADO]] / tb_Auditoria[[#This Row],[VALOR CRÉDITO]], 0)</f>
        <v>0</v>
      </c>
      <c r="L295" s="19" t="e">
        <f>SUMIFS([1]!Motor_Comissão[Valor Previsto],[1]!Motor_Comissão[Chave], tb_Auditoria[[#This Row],[Nº CONTRATO]]&amp;"-"&amp;tb_Auditoria[[#This Row],[PARCELA ATUAL]])</f>
        <v>#REF!</v>
      </c>
      <c r="M295" s="19" t="e">
        <f>tb_Auditoria[[#This Row],[VALOR PAGO]] - tb_Auditoria[[#This Row],[VALOR ESPERADO]]</f>
        <v>#REF!</v>
      </c>
      <c r="N2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6" spans="1:15">
      <c r="A296" s="9">
        <v>1151511</v>
      </c>
      <c r="B296" s="10">
        <v>3</v>
      </c>
      <c r="C296" s="28">
        <v>4.4799999999999996E-3</v>
      </c>
      <c r="D296" s="12">
        <f>tb_Auditoria[[#This Row],[% TAXA RELATÓRIO]]*tb_Auditoria[[#This Row],[VALOR CRÉDITO]]</f>
        <v>1299.3099391999997</v>
      </c>
      <c r="E296" s="13">
        <v>45980</v>
      </c>
      <c r="F296" s="13" t="s">
        <v>16</v>
      </c>
      <c r="G29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9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6" s="19">
        <f>IFERROR(INDEX([1]!tb_Vendas[Crédito],MATCH(tb_Auditoria[[#This Row],[Nº CONTRATO]],[1]!tb_Vendas[Nº Contrato],0)),0)</f>
        <v>290024.53999999998</v>
      </c>
      <c r="K296" s="21">
        <f>IFERROR(tb_Auditoria[[#This Row],[VALOR ESPERADO]] / tb_Auditoria[[#This Row],[VALOR CRÉDITO]], 0)</f>
        <v>0</v>
      </c>
      <c r="L296" s="19" t="e">
        <f>SUMIFS([1]!Motor_Comissão[Valor Previsto],[1]!Motor_Comissão[Chave], tb_Auditoria[[#This Row],[Nº CONTRATO]]&amp;"-"&amp;tb_Auditoria[[#This Row],[PARCELA ATUAL]])</f>
        <v>#REF!</v>
      </c>
      <c r="M296" s="19" t="e">
        <f>tb_Auditoria[[#This Row],[VALOR PAGO]] - tb_Auditoria[[#This Row],[VALOR ESPERADO]]</f>
        <v>#REF!</v>
      </c>
      <c r="N2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7" spans="1:15">
      <c r="A297" s="9">
        <v>1151512</v>
      </c>
      <c r="B297" s="10">
        <v>3</v>
      </c>
      <c r="C297" s="28">
        <v>4.4799999999999996E-3</v>
      </c>
      <c r="D297" s="12">
        <f>tb_Auditoria[[#This Row],[% TAXA RELATÓRIO]]*tb_Auditoria[[#This Row],[VALOR CRÉDITO]]</f>
        <v>1299.3099391999997</v>
      </c>
      <c r="E297" s="13">
        <v>45980</v>
      </c>
      <c r="F297" s="13" t="s">
        <v>16</v>
      </c>
      <c r="G29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9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7" s="19">
        <f>IFERROR(INDEX([1]!tb_Vendas[Crédito],MATCH(tb_Auditoria[[#This Row],[Nº CONTRATO]],[1]!tb_Vendas[Nº Contrato],0)),0)</f>
        <v>290024.53999999998</v>
      </c>
      <c r="K297" s="21">
        <f>IFERROR(tb_Auditoria[[#This Row],[VALOR ESPERADO]] / tb_Auditoria[[#This Row],[VALOR CRÉDITO]], 0)</f>
        <v>0</v>
      </c>
      <c r="L297" s="19" t="e">
        <f>SUMIFS([1]!Motor_Comissão[Valor Previsto],[1]!Motor_Comissão[Chave], tb_Auditoria[[#This Row],[Nº CONTRATO]]&amp;"-"&amp;tb_Auditoria[[#This Row],[PARCELA ATUAL]])</f>
        <v>#REF!</v>
      </c>
      <c r="M297" s="19" t="e">
        <f>tb_Auditoria[[#This Row],[VALOR PAGO]] - tb_Auditoria[[#This Row],[VALOR ESPERADO]]</f>
        <v>#REF!</v>
      </c>
      <c r="N2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8" spans="1:15">
      <c r="A298" s="9">
        <v>1151514</v>
      </c>
      <c r="B298" s="10">
        <v>3</v>
      </c>
      <c r="C298" s="28">
        <v>4.4799999999999996E-3</v>
      </c>
      <c r="D298" s="12">
        <f>tb_Auditoria[[#This Row],[% TAXA RELATÓRIO]]*tb_Auditoria[[#This Row],[VALOR CRÉDITO]]</f>
        <v>2685.3868607999998</v>
      </c>
      <c r="E298" s="13">
        <v>45980</v>
      </c>
      <c r="F298" s="13" t="s">
        <v>16</v>
      </c>
      <c r="G29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9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8" s="19">
        <f>IFERROR(INDEX([1]!tb_Vendas[Crédito],MATCH(tb_Auditoria[[#This Row],[Nº CONTRATO]],[1]!tb_Vendas[Nº Contrato],0)),0)</f>
        <v>599416.71</v>
      </c>
      <c r="K298" s="21">
        <f>IFERROR(tb_Auditoria[[#This Row],[VALOR ESPERADO]] / tb_Auditoria[[#This Row],[VALOR CRÉDITO]], 0)</f>
        <v>0</v>
      </c>
      <c r="L298" s="19" t="e">
        <f>SUMIFS([1]!Motor_Comissão[Valor Previsto],[1]!Motor_Comissão[Chave], tb_Auditoria[[#This Row],[Nº CONTRATO]]&amp;"-"&amp;tb_Auditoria[[#This Row],[PARCELA ATUAL]])</f>
        <v>#REF!</v>
      </c>
      <c r="M298" s="19" t="e">
        <f>tb_Auditoria[[#This Row],[VALOR PAGO]] - tb_Auditoria[[#This Row],[VALOR ESPERADO]]</f>
        <v>#REF!</v>
      </c>
      <c r="N2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299" spans="1:15">
      <c r="A299" s="9">
        <v>1151515</v>
      </c>
      <c r="B299" s="10">
        <v>3</v>
      </c>
      <c r="C299" s="28">
        <v>4.4799999999999996E-3</v>
      </c>
      <c r="D299" s="12">
        <f>tb_Auditoria[[#This Row],[% TAXA RELATÓRIO]]*tb_Auditoria[[#This Row],[VALOR CRÉDITO]]</f>
        <v>2685.3868607999998</v>
      </c>
      <c r="E299" s="13">
        <v>45980</v>
      </c>
      <c r="F299" s="13" t="s">
        <v>16</v>
      </c>
      <c r="G29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29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29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299" s="19">
        <f>IFERROR(INDEX([1]!tb_Vendas[Crédito],MATCH(tb_Auditoria[[#This Row],[Nº CONTRATO]],[1]!tb_Vendas[Nº Contrato],0)),0)</f>
        <v>599416.71</v>
      </c>
      <c r="K299" s="21">
        <f>IFERROR(tb_Auditoria[[#This Row],[VALOR ESPERADO]] / tb_Auditoria[[#This Row],[VALOR CRÉDITO]], 0)</f>
        <v>0</v>
      </c>
      <c r="L299" s="19" t="e">
        <f>SUMIFS([1]!Motor_Comissão[Valor Previsto],[1]!Motor_Comissão[Chave], tb_Auditoria[[#This Row],[Nº CONTRATO]]&amp;"-"&amp;tb_Auditoria[[#This Row],[PARCELA ATUAL]])</f>
        <v>#REF!</v>
      </c>
      <c r="M299" s="19" t="e">
        <f>tb_Auditoria[[#This Row],[VALOR PAGO]] - tb_Auditoria[[#This Row],[VALOR ESPERADO]]</f>
        <v>#REF!</v>
      </c>
      <c r="N2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2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0" spans="1:15">
      <c r="A300" s="9">
        <v>1151516</v>
      </c>
      <c r="B300" s="10">
        <v>3</v>
      </c>
      <c r="C300" s="28">
        <v>4.4799999999999996E-3</v>
      </c>
      <c r="D300" s="12">
        <f>tb_Auditoria[[#This Row],[% TAXA RELATÓRIO]]*tb_Auditoria[[#This Row],[VALOR CRÉDITO]]</f>
        <v>2685.3868607999998</v>
      </c>
      <c r="E300" s="13">
        <v>45980</v>
      </c>
      <c r="F300" s="13" t="s">
        <v>16</v>
      </c>
      <c r="G30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0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0" s="19">
        <f>IFERROR(INDEX([1]!tb_Vendas[Crédito],MATCH(tb_Auditoria[[#This Row],[Nº CONTRATO]],[1]!tb_Vendas[Nº Contrato],0)),0)</f>
        <v>599416.71</v>
      </c>
      <c r="K300" s="21">
        <f>IFERROR(tb_Auditoria[[#This Row],[VALOR ESPERADO]] / tb_Auditoria[[#This Row],[VALOR CRÉDITO]], 0)</f>
        <v>0</v>
      </c>
      <c r="L300" s="19" t="e">
        <f>SUMIFS([1]!Motor_Comissão[Valor Previsto],[1]!Motor_Comissão[Chave], tb_Auditoria[[#This Row],[Nº CONTRATO]]&amp;"-"&amp;tb_Auditoria[[#This Row],[PARCELA ATUAL]])</f>
        <v>#REF!</v>
      </c>
      <c r="M300" s="19" t="e">
        <f>tb_Auditoria[[#This Row],[VALOR PAGO]] - tb_Auditoria[[#This Row],[VALOR ESPERADO]]</f>
        <v>#REF!</v>
      </c>
      <c r="N3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1" spans="1:15">
      <c r="A301" s="9">
        <v>1151517</v>
      </c>
      <c r="B301" s="10">
        <v>3</v>
      </c>
      <c r="C301" s="28">
        <v>4.4799999999999996E-3</v>
      </c>
      <c r="D301" s="12">
        <f>tb_Auditoria[[#This Row],[% TAXA RELATÓRIO]]*tb_Auditoria[[#This Row],[VALOR CRÉDITO]]</f>
        <v>2685.3868607999998</v>
      </c>
      <c r="E301" s="13">
        <v>45980</v>
      </c>
      <c r="F301" s="13" t="s">
        <v>16</v>
      </c>
      <c r="G30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0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1" s="19">
        <f>IFERROR(INDEX([1]!tb_Vendas[Crédito],MATCH(tb_Auditoria[[#This Row],[Nº CONTRATO]],[1]!tb_Vendas[Nº Contrato],0)),0)</f>
        <v>599416.71</v>
      </c>
      <c r="K301" s="21">
        <f>IFERROR(tb_Auditoria[[#This Row],[VALOR ESPERADO]] / tb_Auditoria[[#This Row],[VALOR CRÉDITO]], 0)</f>
        <v>0</v>
      </c>
      <c r="L301" s="19" t="e">
        <f>SUMIFS([1]!Motor_Comissão[Valor Previsto],[1]!Motor_Comissão[Chave], tb_Auditoria[[#This Row],[Nº CONTRATO]]&amp;"-"&amp;tb_Auditoria[[#This Row],[PARCELA ATUAL]])</f>
        <v>#REF!</v>
      </c>
      <c r="M301" s="19" t="e">
        <f>tb_Auditoria[[#This Row],[VALOR PAGO]] - tb_Auditoria[[#This Row],[VALOR ESPERADO]]</f>
        <v>#REF!</v>
      </c>
      <c r="N3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2" spans="1:15">
      <c r="A302" s="9">
        <v>1151518</v>
      </c>
      <c r="B302" s="10">
        <v>3</v>
      </c>
      <c r="C302" s="28">
        <v>4.4799999999999996E-3</v>
      </c>
      <c r="D302" s="12">
        <f>tb_Auditoria[[#This Row],[% TAXA RELATÓRIO]]*tb_Auditoria[[#This Row],[VALOR CRÉDITO]]</f>
        <v>2685.3868607999998</v>
      </c>
      <c r="E302" s="13">
        <v>45980</v>
      </c>
      <c r="F302" s="13" t="s">
        <v>16</v>
      </c>
      <c r="G30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0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2" s="19">
        <f>IFERROR(INDEX([1]!tb_Vendas[Crédito],MATCH(tb_Auditoria[[#This Row],[Nº CONTRATO]],[1]!tb_Vendas[Nº Contrato],0)),0)</f>
        <v>599416.71</v>
      </c>
      <c r="K302" s="21">
        <f>IFERROR(tb_Auditoria[[#This Row],[VALOR ESPERADO]] / tb_Auditoria[[#This Row],[VALOR CRÉDITO]], 0)</f>
        <v>0</v>
      </c>
      <c r="L302" s="19" t="e">
        <f>SUMIFS([1]!Motor_Comissão[Valor Previsto],[1]!Motor_Comissão[Chave], tb_Auditoria[[#This Row],[Nº CONTRATO]]&amp;"-"&amp;tb_Auditoria[[#This Row],[PARCELA ATUAL]])</f>
        <v>#REF!</v>
      </c>
      <c r="M302" s="19" t="e">
        <f>tb_Auditoria[[#This Row],[VALOR PAGO]] - tb_Auditoria[[#This Row],[VALOR ESPERADO]]</f>
        <v>#REF!</v>
      </c>
      <c r="N3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3" spans="1:15">
      <c r="A303" s="9">
        <v>1151519</v>
      </c>
      <c r="B303" s="10">
        <v>3</v>
      </c>
      <c r="C303" s="28">
        <v>4.4799999999999996E-3</v>
      </c>
      <c r="D303" s="12">
        <f>tb_Auditoria[[#This Row],[% TAXA RELATÓRIO]]*tb_Auditoria[[#This Row],[VALOR CRÉDITO]]</f>
        <v>2685.3868607999998</v>
      </c>
      <c r="E303" s="13">
        <v>45980</v>
      </c>
      <c r="F303" s="13" t="s">
        <v>16</v>
      </c>
      <c r="G30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0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3" s="19">
        <f>IFERROR(INDEX([1]!tb_Vendas[Crédito],MATCH(tb_Auditoria[[#This Row],[Nº CONTRATO]],[1]!tb_Vendas[Nº Contrato],0)),0)</f>
        <v>599416.71</v>
      </c>
      <c r="K303" s="21">
        <f>IFERROR(tb_Auditoria[[#This Row],[VALOR ESPERADO]] / tb_Auditoria[[#This Row],[VALOR CRÉDITO]], 0)</f>
        <v>0</v>
      </c>
      <c r="L303" s="19" t="e">
        <f>SUMIFS([1]!Motor_Comissão[Valor Previsto],[1]!Motor_Comissão[Chave], tb_Auditoria[[#This Row],[Nº CONTRATO]]&amp;"-"&amp;tb_Auditoria[[#This Row],[PARCELA ATUAL]])</f>
        <v>#REF!</v>
      </c>
      <c r="M303" s="19" t="e">
        <f>tb_Auditoria[[#This Row],[VALOR PAGO]] - tb_Auditoria[[#This Row],[VALOR ESPERADO]]</f>
        <v>#REF!</v>
      </c>
      <c r="N3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4" spans="1:15">
      <c r="A304" s="9">
        <v>1151520</v>
      </c>
      <c r="B304" s="10">
        <v>3</v>
      </c>
      <c r="C304" s="28">
        <v>4.4799999999999996E-3</v>
      </c>
      <c r="D304" s="12">
        <f>tb_Auditoria[[#This Row],[% TAXA RELATÓRIO]]*tb_Auditoria[[#This Row],[VALOR CRÉDITO]]</f>
        <v>2685.3868607999998</v>
      </c>
      <c r="E304" s="13">
        <v>45980</v>
      </c>
      <c r="F304" s="13" t="s">
        <v>16</v>
      </c>
      <c r="G30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0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4" s="19">
        <f>IFERROR(INDEX([1]!tb_Vendas[Crédito],MATCH(tb_Auditoria[[#This Row],[Nº CONTRATO]],[1]!tb_Vendas[Nº Contrato],0)),0)</f>
        <v>599416.71</v>
      </c>
      <c r="K304" s="21">
        <f>IFERROR(tb_Auditoria[[#This Row],[VALOR ESPERADO]] / tb_Auditoria[[#This Row],[VALOR CRÉDITO]], 0)</f>
        <v>0</v>
      </c>
      <c r="L304" s="19" t="e">
        <f>SUMIFS([1]!Motor_Comissão[Valor Previsto],[1]!Motor_Comissão[Chave], tb_Auditoria[[#This Row],[Nº CONTRATO]]&amp;"-"&amp;tb_Auditoria[[#This Row],[PARCELA ATUAL]])</f>
        <v>#REF!</v>
      </c>
      <c r="M304" s="19" t="e">
        <f>tb_Auditoria[[#This Row],[VALOR PAGO]] - tb_Auditoria[[#This Row],[VALOR ESPERADO]]</f>
        <v>#REF!</v>
      </c>
      <c r="N3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5" spans="1:15">
      <c r="A305" s="9">
        <v>1151521</v>
      </c>
      <c r="B305" s="10">
        <v>3</v>
      </c>
      <c r="C305" s="28">
        <v>4.4799999999999996E-3</v>
      </c>
      <c r="D305" s="12">
        <f>tb_Auditoria[[#This Row],[% TAXA RELATÓRIO]]*tb_Auditoria[[#This Row],[VALOR CRÉDITO]]</f>
        <v>2685.3868607999998</v>
      </c>
      <c r="E305" s="13">
        <v>45980</v>
      </c>
      <c r="F305" s="13" t="s">
        <v>16</v>
      </c>
      <c r="G30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0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5" s="19">
        <f>IFERROR(INDEX([1]!tb_Vendas[Crédito],MATCH(tb_Auditoria[[#This Row],[Nº CONTRATO]],[1]!tb_Vendas[Nº Contrato],0)),0)</f>
        <v>599416.71</v>
      </c>
      <c r="K305" s="21">
        <f>IFERROR(tb_Auditoria[[#This Row],[VALOR ESPERADO]] / tb_Auditoria[[#This Row],[VALOR CRÉDITO]], 0)</f>
        <v>0</v>
      </c>
      <c r="L305" s="19" t="e">
        <f>SUMIFS([1]!Motor_Comissão[Valor Previsto],[1]!Motor_Comissão[Chave], tb_Auditoria[[#This Row],[Nº CONTRATO]]&amp;"-"&amp;tb_Auditoria[[#This Row],[PARCELA ATUAL]])</f>
        <v>#REF!</v>
      </c>
      <c r="M305" s="19" t="e">
        <f>tb_Auditoria[[#This Row],[VALOR PAGO]] - tb_Auditoria[[#This Row],[VALOR ESPERADO]]</f>
        <v>#REF!</v>
      </c>
      <c r="N3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6" spans="1:15">
      <c r="A306" s="9">
        <v>1151522</v>
      </c>
      <c r="B306" s="10">
        <v>3</v>
      </c>
      <c r="C306" s="28">
        <v>4.4799999999999996E-3</v>
      </c>
      <c r="D306" s="12">
        <f>tb_Auditoria[[#This Row],[% TAXA RELATÓRIO]]*tb_Auditoria[[#This Row],[VALOR CRÉDITO]]</f>
        <v>2685.3868607999998</v>
      </c>
      <c r="E306" s="13">
        <v>45980</v>
      </c>
      <c r="F306" s="13" t="s">
        <v>16</v>
      </c>
      <c r="G30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0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6" s="19">
        <f>IFERROR(INDEX([1]!tb_Vendas[Crédito],MATCH(tb_Auditoria[[#This Row],[Nº CONTRATO]],[1]!tb_Vendas[Nº Contrato],0)),0)</f>
        <v>599416.71</v>
      </c>
      <c r="K306" s="21">
        <f>IFERROR(tb_Auditoria[[#This Row],[VALOR ESPERADO]] / tb_Auditoria[[#This Row],[VALOR CRÉDITO]], 0)</f>
        <v>0</v>
      </c>
      <c r="L306" s="19" t="e">
        <f>SUMIFS([1]!Motor_Comissão[Valor Previsto],[1]!Motor_Comissão[Chave], tb_Auditoria[[#This Row],[Nº CONTRATO]]&amp;"-"&amp;tb_Auditoria[[#This Row],[PARCELA ATUAL]])</f>
        <v>#REF!</v>
      </c>
      <c r="M306" s="19" t="e">
        <f>tb_Auditoria[[#This Row],[VALOR PAGO]] - tb_Auditoria[[#This Row],[VALOR ESPERADO]]</f>
        <v>#REF!</v>
      </c>
      <c r="N3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7" spans="1:15">
      <c r="A307" s="9">
        <v>1151523</v>
      </c>
      <c r="B307" s="10">
        <v>3</v>
      </c>
      <c r="C307" s="28">
        <v>4.9919999999999999E-3</v>
      </c>
      <c r="D307" s="12">
        <f>tb_Auditoria[[#This Row],[% TAXA RELATÓRIO]]*tb_Auditoria[[#This Row],[VALOR CRÉDITO]]</f>
        <v>2229.8415859199999</v>
      </c>
      <c r="E307" s="13">
        <v>45980</v>
      </c>
      <c r="F307" s="13" t="s">
        <v>16</v>
      </c>
      <c r="G30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0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7" s="19">
        <f>IFERROR(INDEX([1]!tb_Vendas[Crédito],MATCH(tb_Auditoria[[#This Row],[Nº CONTRATO]],[1]!tb_Vendas[Nº Contrato],0)),0)</f>
        <v>446683.01</v>
      </c>
      <c r="K307" s="21">
        <f>IFERROR(tb_Auditoria[[#This Row],[VALOR ESPERADO]] / tb_Auditoria[[#This Row],[VALOR CRÉDITO]], 0)</f>
        <v>0</v>
      </c>
      <c r="L307" s="19" t="e">
        <f>SUMIFS([1]!Motor_Comissão[Valor Previsto],[1]!Motor_Comissão[Chave], tb_Auditoria[[#This Row],[Nº CONTRATO]]&amp;"-"&amp;tb_Auditoria[[#This Row],[PARCELA ATUAL]])</f>
        <v>#REF!</v>
      </c>
      <c r="M307" s="19" t="e">
        <f>tb_Auditoria[[#This Row],[VALOR PAGO]] - tb_Auditoria[[#This Row],[VALOR ESPERADO]]</f>
        <v>#REF!</v>
      </c>
      <c r="N3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8" spans="1:15">
      <c r="A308" s="9">
        <v>1151525</v>
      </c>
      <c r="B308" s="10">
        <v>3</v>
      </c>
      <c r="C308" s="28">
        <v>4.9919999999999999E-3</v>
      </c>
      <c r="D308" s="12">
        <f>tb_Auditoria[[#This Row],[% TAXA RELATÓRIO]]*tb_Auditoria[[#This Row],[VALOR CRÉDITO]]</f>
        <v>2229.8415859199999</v>
      </c>
      <c r="E308" s="13">
        <v>45980</v>
      </c>
      <c r="F308" s="13" t="s">
        <v>16</v>
      </c>
      <c r="G30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0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8" s="19">
        <f>IFERROR(INDEX([1]!tb_Vendas[Crédito],MATCH(tb_Auditoria[[#This Row],[Nº CONTRATO]],[1]!tb_Vendas[Nº Contrato],0)),0)</f>
        <v>446683.01</v>
      </c>
      <c r="K308" s="21">
        <f>IFERROR(tb_Auditoria[[#This Row],[VALOR ESPERADO]] / tb_Auditoria[[#This Row],[VALOR CRÉDITO]], 0)</f>
        <v>0</v>
      </c>
      <c r="L308" s="19" t="e">
        <f>SUMIFS([1]!Motor_Comissão[Valor Previsto],[1]!Motor_Comissão[Chave], tb_Auditoria[[#This Row],[Nº CONTRATO]]&amp;"-"&amp;tb_Auditoria[[#This Row],[PARCELA ATUAL]])</f>
        <v>#REF!</v>
      </c>
      <c r="M308" s="19" t="e">
        <f>tb_Auditoria[[#This Row],[VALOR PAGO]] - tb_Auditoria[[#This Row],[VALOR ESPERADO]]</f>
        <v>#REF!</v>
      </c>
      <c r="N3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09" spans="1:15">
      <c r="A309" s="9">
        <v>1151526</v>
      </c>
      <c r="B309" s="10">
        <v>3</v>
      </c>
      <c r="C309" s="28">
        <v>5.1200000000000004E-3</v>
      </c>
      <c r="D309" s="12">
        <f>tb_Auditoria[[#This Row],[% TAXA RELATÓRIO]]*tb_Auditoria[[#This Row],[VALOR CRÉDITO]]</f>
        <v>2048</v>
      </c>
      <c r="E309" s="13">
        <v>45980</v>
      </c>
      <c r="F309" s="13" t="s">
        <v>16</v>
      </c>
      <c r="G30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0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0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09" s="19">
        <f>IFERROR(INDEX([1]!tb_Vendas[Crédito],MATCH(tb_Auditoria[[#This Row],[Nº CONTRATO]],[1]!tb_Vendas[Nº Contrato],0)),0)</f>
        <v>400000</v>
      </c>
      <c r="K309" s="21">
        <f>IFERROR(tb_Auditoria[[#This Row],[VALOR ESPERADO]] / tb_Auditoria[[#This Row],[VALOR CRÉDITO]], 0)</f>
        <v>0</v>
      </c>
      <c r="L309" s="19" t="e">
        <f>SUMIFS([1]!Motor_Comissão[Valor Previsto],[1]!Motor_Comissão[Chave], tb_Auditoria[[#This Row],[Nº CONTRATO]]&amp;"-"&amp;tb_Auditoria[[#This Row],[PARCELA ATUAL]])</f>
        <v>#REF!</v>
      </c>
      <c r="M309" s="19" t="e">
        <f>tb_Auditoria[[#This Row],[VALOR PAGO]] - tb_Auditoria[[#This Row],[VALOR ESPERADO]]</f>
        <v>#REF!</v>
      </c>
      <c r="N3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0" spans="1:15">
      <c r="A310" s="9">
        <v>1151527</v>
      </c>
      <c r="B310" s="10">
        <v>3</v>
      </c>
      <c r="C310" s="28">
        <v>5.1200000000000004E-3</v>
      </c>
      <c r="D310" s="12">
        <f>tb_Auditoria[[#This Row],[% TAXA RELATÓRIO]]*tb_Auditoria[[#This Row],[VALOR CRÉDITO]]</f>
        <v>2048</v>
      </c>
      <c r="E310" s="13">
        <v>45980</v>
      </c>
      <c r="F310" s="13" t="s">
        <v>16</v>
      </c>
      <c r="G31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1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0" s="19">
        <f>IFERROR(INDEX([1]!tb_Vendas[Crédito],MATCH(tb_Auditoria[[#This Row],[Nº CONTRATO]],[1]!tb_Vendas[Nº Contrato],0)),0)</f>
        <v>400000</v>
      </c>
      <c r="K310" s="21">
        <f>IFERROR(tb_Auditoria[[#This Row],[VALOR ESPERADO]] / tb_Auditoria[[#This Row],[VALOR CRÉDITO]], 0)</f>
        <v>0</v>
      </c>
      <c r="L310" s="19" t="e">
        <f>SUMIFS([1]!Motor_Comissão[Valor Previsto],[1]!Motor_Comissão[Chave], tb_Auditoria[[#This Row],[Nº CONTRATO]]&amp;"-"&amp;tb_Auditoria[[#This Row],[PARCELA ATUAL]])</f>
        <v>#REF!</v>
      </c>
      <c r="M310" s="19" t="e">
        <f>tb_Auditoria[[#This Row],[VALOR PAGO]] - tb_Auditoria[[#This Row],[VALOR ESPERADO]]</f>
        <v>#REF!</v>
      </c>
      <c r="N3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1" spans="1:15">
      <c r="A311" s="9">
        <v>1151528</v>
      </c>
      <c r="B311" s="10">
        <v>3</v>
      </c>
      <c r="C311" s="28">
        <v>5.1200000000000004E-3</v>
      </c>
      <c r="D311" s="12">
        <f>tb_Auditoria[[#This Row],[% TAXA RELATÓRIO]]*tb_Auditoria[[#This Row],[VALOR CRÉDITO]]</f>
        <v>2048</v>
      </c>
      <c r="E311" s="13">
        <v>45980</v>
      </c>
      <c r="F311" s="13" t="s">
        <v>16</v>
      </c>
      <c r="G31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1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1" s="19">
        <f>IFERROR(INDEX([1]!tb_Vendas[Crédito],MATCH(tb_Auditoria[[#This Row],[Nº CONTRATO]],[1]!tb_Vendas[Nº Contrato],0)),0)</f>
        <v>400000</v>
      </c>
      <c r="K311" s="21">
        <f>IFERROR(tb_Auditoria[[#This Row],[VALOR ESPERADO]] / tb_Auditoria[[#This Row],[VALOR CRÉDITO]], 0)</f>
        <v>0</v>
      </c>
      <c r="L311" s="19" t="e">
        <f>SUMIFS([1]!Motor_Comissão[Valor Previsto],[1]!Motor_Comissão[Chave], tb_Auditoria[[#This Row],[Nº CONTRATO]]&amp;"-"&amp;tb_Auditoria[[#This Row],[PARCELA ATUAL]])</f>
        <v>#REF!</v>
      </c>
      <c r="M311" s="19" t="e">
        <f>tb_Auditoria[[#This Row],[VALOR PAGO]] - tb_Auditoria[[#This Row],[VALOR ESPERADO]]</f>
        <v>#REF!</v>
      </c>
      <c r="N3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2" spans="1:15">
      <c r="A312" s="9">
        <v>1151529</v>
      </c>
      <c r="B312" s="10">
        <v>3</v>
      </c>
      <c r="C312" s="28">
        <v>5.1200000000000004E-3</v>
      </c>
      <c r="D312" s="12">
        <f>tb_Auditoria[[#This Row],[% TAXA RELATÓRIO]]*tb_Auditoria[[#This Row],[VALOR CRÉDITO]]</f>
        <v>2048</v>
      </c>
      <c r="E312" s="13">
        <v>45980</v>
      </c>
      <c r="F312" s="13" t="s">
        <v>16</v>
      </c>
      <c r="G31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1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2" s="19">
        <f>IFERROR(INDEX([1]!tb_Vendas[Crédito],MATCH(tb_Auditoria[[#This Row],[Nº CONTRATO]],[1]!tb_Vendas[Nº Contrato],0)),0)</f>
        <v>400000</v>
      </c>
      <c r="K312" s="21">
        <f>IFERROR(tb_Auditoria[[#This Row],[VALOR ESPERADO]] / tb_Auditoria[[#This Row],[VALOR CRÉDITO]], 0)</f>
        <v>0</v>
      </c>
      <c r="L312" s="19" t="e">
        <f>SUMIFS([1]!Motor_Comissão[Valor Previsto],[1]!Motor_Comissão[Chave], tb_Auditoria[[#This Row],[Nº CONTRATO]]&amp;"-"&amp;tb_Auditoria[[#This Row],[PARCELA ATUAL]])</f>
        <v>#REF!</v>
      </c>
      <c r="M312" s="19" t="e">
        <f>tb_Auditoria[[#This Row],[VALOR PAGO]] - tb_Auditoria[[#This Row],[VALOR ESPERADO]]</f>
        <v>#REF!</v>
      </c>
      <c r="N3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3" spans="1:15">
      <c r="A313" s="9">
        <v>1151530</v>
      </c>
      <c r="B313" s="10">
        <v>3</v>
      </c>
      <c r="C313" s="28">
        <v>5.1200000000000004E-3</v>
      </c>
      <c r="D313" s="12">
        <f>tb_Auditoria[[#This Row],[% TAXA RELATÓRIO]]*tb_Auditoria[[#This Row],[VALOR CRÉDITO]]</f>
        <v>2048</v>
      </c>
      <c r="E313" s="13">
        <v>45980</v>
      </c>
      <c r="F313" s="13" t="s">
        <v>16</v>
      </c>
      <c r="G31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1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3" s="19">
        <f>IFERROR(INDEX([1]!tb_Vendas[Crédito],MATCH(tb_Auditoria[[#This Row],[Nº CONTRATO]],[1]!tb_Vendas[Nº Contrato],0)),0)</f>
        <v>400000</v>
      </c>
      <c r="K313" s="21">
        <f>IFERROR(tb_Auditoria[[#This Row],[VALOR ESPERADO]] / tb_Auditoria[[#This Row],[VALOR CRÉDITO]], 0)</f>
        <v>0</v>
      </c>
      <c r="L313" s="19" t="e">
        <f>SUMIFS([1]!Motor_Comissão[Valor Previsto],[1]!Motor_Comissão[Chave], tb_Auditoria[[#This Row],[Nº CONTRATO]]&amp;"-"&amp;tb_Auditoria[[#This Row],[PARCELA ATUAL]])</f>
        <v>#REF!</v>
      </c>
      <c r="M313" s="19" t="e">
        <f>tb_Auditoria[[#This Row],[VALOR PAGO]] - tb_Auditoria[[#This Row],[VALOR ESPERADO]]</f>
        <v>#REF!</v>
      </c>
      <c r="N3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4" spans="1:15">
      <c r="A314" s="9">
        <v>1151532</v>
      </c>
      <c r="B314" s="10">
        <v>3</v>
      </c>
      <c r="C314" s="28">
        <v>5.3200000000000001E-3</v>
      </c>
      <c r="D314" s="12">
        <f>tb_Auditoria[[#This Row],[% TAXA RELATÓRIO]]*tb_Auditoria[[#This Row],[VALOR CRÉDITO]]</f>
        <v>2261</v>
      </c>
      <c r="E314" s="13">
        <v>45980</v>
      </c>
      <c r="F314" s="13" t="s">
        <v>16</v>
      </c>
      <c r="G31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1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4" s="19">
        <f>IFERROR(INDEX([1]!tb_Vendas[Crédito],MATCH(tb_Auditoria[[#This Row],[Nº CONTRATO]],[1]!tb_Vendas[Nº Contrato],0)),0)</f>
        <v>425000</v>
      </c>
      <c r="K314" s="21">
        <f>IFERROR(tb_Auditoria[[#This Row],[VALOR ESPERADO]] / tb_Auditoria[[#This Row],[VALOR CRÉDITO]], 0)</f>
        <v>0</v>
      </c>
      <c r="L314" s="19" t="e">
        <f>SUMIFS([1]!Motor_Comissão[Valor Previsto],[1]!Motor_Comissão[Chave], tb_Auditoria[[#This Row],[Nº CONTRATO]]&amp;"-"&amp;tb_Auditoria[[#This Row],[PARCELA ATUAL]])</f>
        <v>#REF!</v>
      </c>
      <c r="M314" s="19" t="e">
        <f>tb_Auditoria[[#This Row],[VALOR PAGO]] - tb_Auditoria[[#This Row],[VALOR ESPERADO]]</f>
        <v>#REF!</v>
      </c>
      <c r="N3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5" spans="1:15">
      <c r="A315" s="9">
        <v>1151535</v>
      </c>
      <c r="B315" s="10">
        <v>3</v>
      </c>
      <c r="C315" s="28">
        <v>4.7879999999999997E-3</v>
      </c>
      <c r="D315" s="12">
        <f>tb_Auditoria[[#This Row],[% TAXA RELATÓRIO]]*tb_Auditoria[[#This Row],[VALOR CRÉDITO]]</f>
        <v>1915.1999999999998</v>
      </c>
      <c r="E315" s="13">
        <v>45980</v>
      </c>
      <c r="F315" s="13" t="s">
        <v>16</v>
      </c>
      <c r="G31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1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5" s="19">
        <f>IFERROR(INDEX([1]!tb_Vendas[Crédito],MATCH(tb_Auditoria[[#This Row],[Nº CONTRATO]],[1]!tb_Vendas[Nº Contrato],0)),0)</f>
        <v>400000</v>
      </c>
      <c r="K315" s="21">
        <f>IFERROR(tb_Auditoria[[#This Row],[VALOR ESPERADO]] / tb_Auditoria[[#This Row],[VALOR CRÉDITO]], 0)</f>
        <v>0</v>
      </c>
      <c r="L315" s="19" t="e">
        <f>SUMIFS([1]!Motor_Comissão[Valor Previsto],[1]!Motor_Comissão[Chave], tb_Auditoria[[#This Row],[Nº CONTRATO]]&amp;"-"&amp;tb_Auditoria[[#This Row],[PARCELA ATUAL]])</f>
        <v>#REF!</v>
      </c>
      <c r="M315" s="19" t="e">
        <f>tb_Auditoria[[#This Row],[VALOR PAGO]] - tb_Auditoria[[#This Row],[VALOR ESPERADO]]</f>
        <v>#REF!</v>
      </c>
      <c r="N3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6" spans="1:15">
      <c r="A316" s="9">
        <v>1151536</v>
      </c>
      <c r="B316" s="10">
        <v>3</v>
      </c>
      <c r="C316" s="28">
        <v>4.7879999999999997E-3</v>
      </c>
      <c r="D316" s="12">
        <f>tb_Auditoria[[#This Row],[% TAXA RELATÓRIO]]*tb_Auditoria[[#This Row],[VALOR CRÉDITO]]</f>
        <v>1915.1999999999998</v>
      </c>
      <c r="E316" s="13">
        <v>45980</v>
      </c>
      <c r="F316" s="13" t="s">
        <v>16</v>
      </c>
      <c r="G31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1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6" s="19">
        <f>IFERROR(INDEX([1]!tb_Vendas[Crédito],MATCH(tb_Auditoria[[#This Row],[Nº CONTRATO]],[1]!tb_Vendas[Nº Contrato],0)),0)</f>
        <v>400000</v>
      </c>
      <c r="K316" s="21">
        <f>IFERROR(tb_Auditoria[[#This Row],[VALOR ESPERADO]] / tb_Auditoria[[#This Row],[VALOR CRÉDITO]], 0)</f>
        <v>0</v>
      </c>
      <c r="L316" s="19" t="e">
        <f>SUMIFS([1]!Motor_Comissão[Valor Previsto],[1]!Motor_Comissão[Chave], tb_Auditoria[[#This Row],[Nº CONTRATO]]&amp;"-"&amp;tb_Auditoria[[#This Row],[PARCELA ATUAL]])</f>
        <v>#REF!</v>
      </c>
      <c r="M316" s="19" t="e">
        <f>tb_Auditoria[[#This Row],[VALOR PAGO]] - tb_Auditoria[[#This Row],[VALOR ESPERADO]]</f>
        <v>#REF!</v>
      </c>
      <c r="N3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7" spans="1:15">
      <c r="A317" s="9">
        <v>1151537</v>
      </c>
      <c r="B317" s="10">
        <v>3</v>
      </c>
      <c r="C317" s="28">
        <v>4.8640000000000003E-3</v>
      </c>
      <c r="D317" s="12">
        <f>tb_Auditoria[[#This Row],[% TAXA RELATÓRIO]]*tb_Auditoria[[#This Row],[VALOR CRÉDITO]]</f>
        <v>1459.2</v>
      </c>
      <c r="E317" s="13">
        <v>45980</v>
      </c>
      <c r="F317" s="13" t="s">
        <v>16</v>
      </c>
      <c r="G31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1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7" s="19">
        <f>IFERROR(INDEX([1]!tb_Vendas[Crédito],MATCH(tb_Auditoria[[#This Row],[Nº CONTRATO]],[1]!tb_Vendas[Nº Contrato],0)),0)</f>
        <v>300000</v>
      </c>
      <c r="K317" s="21">
        <f>IFERROR(tb_Auditoria[[#This Row],[VALOR ESPERADO]] / tb_Auditoria[[#This Row],[VALOR CRÉDITO]], 0)</f>
        <v>0</v>
      </c>
      <c r="L317" s="19" t="e">
        <f>SUMIFS([1]!Motor_Comissão[Valor Previsto],[1]!Motor_Comissão[Chave], tb_Auditoria[[#This Row],[Nº CONTRATO]]&amp;"-"&amp;tb_Auditoria[[#This Row],[PARCELA ATUAL]])</f>
        <v>#REF!</v>
      </c>
      <c r="M317" s="19" t="e">
        <f>tb_Auditoria[[#This Row],[VALOR PAGO]] - tb_Auditoria[[#This Row],[VALOR ESPERADO]]</f>
        <v>#REF!</v>
      </c>
      <c r="N3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8" spans="1:15">
      <c r="A318" s="9">
        <v>1151539</v>
      </c>
      <c r="B318" s="10">
        <v>3</v>
      </c>
      <c r="C318" s="28">
        <v>4.8640000000000003E-3</v>
      </c>
      <c r="D318" s="12">
        <f>tb_Auditoria[[#This Row],[% TAXA RELATÓRIO]]*tb_Auditoria[[#This Row],[VALOR CRÉDITO]]</f>
        <v>1556.48</v>
      </c>
      <c r="E318" s="13">
        <v>45980</v>
      </c>
      <c r="F318" s="13" t="s">
        <v>16</v>
      </c>
      <c r="G31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1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8" s="19">
        <f>IFERROR(INDEX([1]!tb_Vendas[Crédito],MATCH(tb_Auditoria[[#This Row],[Nº CONTRATO]],[1]!tb_Vendas[Nº Contrato],0)),0)</f>
        <v>320000</v>
      </c>
      <c r="K318" s="21">
        <f>IFERROR(tb_Auditoria[[#This Row],[VALOR ESPERADO]] / tb_Auditoria[[#This Row],[VALOR CRÉDITO]], 0)</f>
        <v>0</v>
      </c>
      <c r="L318" s="19" t="e">
        <f>SUMIFS([1]!Motor_Comissão[Valor Previsto],[1]!Motor_Comissão[Chave], tb_Auditoria[[#This Row],[Nº CONTRATO]]&amp;"-"&amp;tb_Auditoria[[#This Row],[PARCELA ATUAL]])</f>
        <v>#REF!</v>
      </c>
      <c r="M318" s="19" t="e">
        <f>tb_Auditoria[[#This Row],[VALOR PAGO]] - tb_Auditoria[[#This Row],[VALOR ESPERADO]]</f>
        <v>#REF!</v>
      </c>
      <c r="N3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19" spans="1:15">
      <c r="A319" s="9">
        <v>1151501</v>
      </c>
      <c r="B319" s="10">
        <v>5</v>
      </c>
      <c r="C319" s="28">
        <v>4.7359999999999998E-3</v>
      </c>
      <c r="D319" s="12">
        <f>tb_Auditoria[[#This Row],[% TAXA RELATÓRIO]]*tb_Auditoria[[#This Row],[VALOR CRÉDITO]]</f>
        <v>1352.0867967999998</v>
      </c>
      <c r="E319" s="13">
        <v>46038</v>
      </c>
      <c r="F319" s="13" t="s">
        <v>16</v>
      </c>
      <c r="G31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1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1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19" s="19">
        <f>IFERROR(INDEX([1]!tb_Vendas[Crédito],MATCH(tb_Auditoria[[#This Row],[Nº CONTRATO]],[1]!tb_Vendas[Nº Contrato],0)),0)</f>
        <v>285491.3</v>
      </c>
      <c r="K319" s="21">
        <f>IFERROR(tb_Auditoria[[#This Row],[VALOR ESPERADO]] / tb_Auditoria[[#This Row],[VALOR CRÉDITO]], 0)</f>
        <v>0</v>
      </c>
      <c r="L319" s="19" t="e">
        <f>SUMIFS([1]!Motor_Comissão[Valor Previsto],[1]!Motor_Comissão[Chave], tb_Auditoria[[#This Row],[Nº CONTRATO]]&amp;"-"&amp;tb_Auditoria[[#This Row],[PARCELA ATUAL]])</f>
        <v>#REF!</v>
      </c>
      <c r="M319" s="19" t="e">
        <f>tb_Auditoria[[#This Row],[VALOR PAGO]] - tb_Auditoria[[#This Row],[VALOR ESPERADO]]</f>
        <v>#REF!</v>
      </c>
      <c r="N3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20" spans="1:15">
      <c r="A320" s="9">
        <v>1151503</v>
      </c>
      <c r="B320" s="10">
        <v>5</v>
      </c>
      <c r="C320" s="28">
        <v>4.7359999999999998E-3</v>
      </c>
      <c r="D320" s="12">
        <f>tb_Auditoria[[#This Row],[% TAXA RELATÓRIO]]*tb_Auditoria[[#This Row],[VALOR CRÉDITO]]</f>
        <v>1352.0867967999998</v>
      </c>
      <c r="E320" s="13">
        <v>46038</v>
      </c>
      <c r="F320" s="13" t="s">
        <v>16</v>
      </c>
      <c r="G32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2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0" s="19">
        <f>IFERROR(INDEX([1]!tb_Vendas[Crédito],MATCH(tb_Auditoria[[#This Row],[Nº CONTRATO]],[1]!tb_Vendas[Nº Contrato],0)),0)</f>
        <v>285491.3</v>
      </c>
      <c r="K320" s="21">
        <f>IFERROR(tb_Auditoria[[#This Row],[VALOR ESPERADO]] / tb_Auditoria[[#This Row],[VALOR CRÉDITO]], 0)</f>
        <v>0</v>
      </c>
      <c r="L320" s="19" t="e">
        <f>SUMIFS([1]!Motor_Comissão[Valor Previsto],[1]!Motor_Comissão[Chave], tb_Auditoria[[#This Row],[Nº CONTRATO]]&amp;"-"&amp;tb_Auditoria[[#This Row],[PARCELA ATUAL]])</f>
        <v>#REF!</v>
      </c>
      <c r="M320" s="19" t="e">
        <f>tb_Auditoria[[#This Row],[VALOR PAGO]] - tb_Auditoria[[#This Row],[VALOR ESPERADO]]</f>
        <v>#REF!</v>
      </c>
      <c r="N3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21" spans="1:15">
      <c r="A321" s="9">
        <v>1151505</v>
      </c>
      <c r="B321" s="10">
        <v>5</v>
      </c>
      <c r="C321" s="28">
        <v>4.7359999999999998E-3</v>
      </c>
      <c r="D321" s="12">
        <f>tb_Auditoria[[#This Row],[% TAXA RELATÓRIO]]*tb_Auditoria[[#This Row],[VALOR CRÉDITO]]</f>
        <v>1352.0867967999998</v>
      </c>
      <c r="E321" s="13">
        <v>46038</v>
      </c>
      <c r="F321" s="13" t="s">
        <v>16</v>
      </c>
      <c r="G32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2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1" s="19">
        <f>IFERROR(INDEX([1]!tb_Vendas[Crédito],MATCH(tb_Auditoria[[#This Row],[Nº CONTRATO]],[1]!tb_Vendas[Nº Contrato],0)),0)</f>
        <v>285491.3</v>
      </c>
      <c r="K321" s="21">
        <f>IFERROR(tb_Auditoria[[#This Row],[VALOR ESPERADO]] / tb_Auditoria[[#This Row],[VALOR CRÉDITO]], 0)</f>
        <v>0</v>
      </c>
      <c r="L321" s="19" t="e">
        <f>SUMIFS([1]!Motor_Comissão[Valor Previsto],[1]!Motor_Comissão[Chave], tb_Auditoria[[#This Row],[Nº CONTRATO]]&amp;"-"&amp;tb_Auditoria[[#This Row],[PARCELA ATUAL]])</f>
        <v>#REF!</v>
      </c>
      <c r="M321" s="19" t="e">
        <f>tb_Auditoria[[#This Row],[VALOR PAGO]] - tb_Auditoria[[#This Row],[VALOR ESPERADO]]</f>
        <v>#REF!</v>
      </c>
      <c r="N3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22" spans="1:15">
      <c r="A322" s="9">
        <v>1151506</v>
      </c>
      <c r="B322" s="10">
        <v>5</v>
      </c>
      <c r="C322" s="28">
        <v>4.4799999999999996E-3</v>
      </c>
      <c r="D322" s="12">
        <f>tb_Auditoria[[#This Row],[% TAXA RELATÓRIO]]*tb_Auditoria[[#This Row],[VALOR CRÉDITO]]</f>
        <v>1370.2583551999999</v>
      </c>
      <c r="E322" s="13">
        <v>46038</v>
      </c>
      <c r="F322" s="13" t="s">
        <v>16</v>
      </c>
      <c r="G32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2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2" s="19">
        <f>IFERROR(INDEX([1]!tb_Vendas[Crédito],MATCH(tb_Auditoria[[#This Row],[Nº CONTRATO]],[1]!tb_Vendas[Nº Contrato],0)),0)</f>
        <v>305861.24</v>
      </c>
      <c r="K322" s="21">
        <f>IFERROR(tb_Auditoria[[#This Row],[VALOR ESPERADO]] / tb_Auditoria[[#This Row],[VALOR CRÉDITO]], 0)</f>
        <v>0</v>
      </c>
      <c r="L322" s="19" t="e">
        <f>SUMIFS([1]!Motor_Comissão[Valor Previsto],[1]!Motor_Comissão[Chave], tb_Auditoria[[#This Row],[Nº CONTRATO]]&amp;"-"&amp;tb_Auditoria[[#This Row],[PARCELA ATUAL]])</f>
        <v>#REF!</v>
      </c>
      <c r="M322" s="19" t="e">
        <f>tb_Auditoria[[#This Row],[VALOR PAGO]] - tb_Auditoria[[#This Row],[VALOR ESPERADO]]</f>
        <v>#REF!</v>
      </c>
      <c r="N3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23" spans="1:15">
      <c r="A323" s="9">
        <v>1151507</v>
      </c>
      <c r="B323" s="10">
        <v>5</v>
      </c>
      <c r="C323" s="28">
        <v>4.4799999999999996E-3</v>
      </c>
      <c r="D323" s="12">
        <f>tb_Auditoria[[#This Row],[% TAXA RELATÓRIO]]*tb_Auditoria[[#This Row],[VALOR CRÉDITO]]</f>
        <v>1370.2583551999999</v>
      </c>
      <c r="E323" s="13">
        <v>46038</v>
      </c>
      <c r="F323" s="13" t="s">
        <v>16</v>
      </c>
      <c r="G32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2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3" s="19">
        <f>IFERROR(INDEX([1]!tb_Vendas[Crédito],MATCH(tb_Auditoria[[#This Row],[Nº CONTRATO]],[1]!tb_Vendas[Nº Contrato],0)),0)</f>
        <v>305861.24</v>
      </c>
      <c r="K323" s="21">
        <f>IFERROR(tb_Auditoria[[#This Row],[VALOR ESPERADO]] / tb_Auditoria[[#This Row],[VALOR CRÉDITO]], 0)</f>
        <v>0</v>
      </c>
      <c r="L323" s="19" t="e">
        <f>SUMIFS([1]!Motor_Comissão[Valor Previsto],[1]!Motor_Comissão[Chave], tb_Auditoria[[#This Row],[Nº CONTRATO]]&amp;"-"&amp;tb_Auditoria[[#This Row],[PARCELA ATUAL]])</f>
        <v>#REF!</v>
      </c>
      <c r="M323" s="19" t="e">
        <f>tb_Auditoria[[#This Row],[VALOR PAGO]] - tb_Auditoria[[#This Row],[VALOR ESPERADO]]</f>
        <v>#REF!</v>
      </c>
      <c r="N3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24" spans="1:15">
      <c r="A324" s="9">
        <v>1151509</v>
      </c>
      <c r="B324" s="10">
        <v>5</v>
      </c>
      <c r="C324" s="28">
        <v>4.4799999999999996E-3</v>
      </c>
      <c r="D324" s="12">
        <f>tb_Auditoria[[#This Row],[% TAXA RELATÓRIO]]*tb_Auditoria[[#This Row],[VALOR CRÉDITO]]</f>
        <v>1370.2583551999999</v>
      </c>
      <c r="E324" s="13">
        <v>46038</v>
      </c>
      <c r="F324" s="13" t="s">
        <v>16</v>
      </c>
      <c r="G32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2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4" s="19">
        <f>IFERROR(INDEX([1]!tb_Vendas[Crédito],MATCH(tb_Auditoria[[#This Row],[Nº CONTRATO]],[1]!tb_Vendas[Nº Contrato],0)),0)</f>
        <v>305861.24</v>
      </c>
      <c r="K324" s="21">
        <f>IFERROR(tb_Auditoria[[#This Row],[VALOR ESPERADO]] / tb_Auditoria[[#This Row],[VALOR CRÉDITO]], 0)</f>
        <v>0</v>
      </c>
      <c r="L324" s="19" t="e">
        <f>SUMIFS([1]!Motor_Comissão[Valor Previsto],[1]!Motor_Comissão[Chave], tb_Auditoria[[#This Row],[Nº CONTRATO]]&amp;"-"&amp;tb_Auditoria[[#This Row],[PARCELA ATUAL]])</f>
        <v>#REF!</v>
      </c>
      <c r="M324" s="19" t="e">
        <f>tb_Auditoria[[#This Row],[VALOR PAGO]] - tb_Auditoria[[#This Row],[VALOR ESPERADO]]</f>
        <v>#REF!</v>
      </c>
      <c r="N3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25" spans="1:15">
      <c r="A325" s="9">
        <v>1151510</v>
      </c>
      <c r="B325" s="10">
        <v>5</v>
      </c>
      <c r="C325" s="28">
        <v>4.4799999999999996E-3</v>
      </c>
      <c r="D325" s="12">
        <f>tb_Auditoria[[#This Row],[% TAXA RELATÓRIO]]*tb_Auditoria[[#This Row],[VALOR CRÉDITO]]</f>
        <v>1370.2583551999999</v>
      </c>
      <c r="E325" s="13">
        <v>46038</v>
      </c>
      <c r="F325" s="13" t="s">
        <v>16</v>
      </c>
      <c r="G32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2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5" s="19">
        <f>IFERROR(INDEX([1]!tb_Vendas[Crédito],MATCH(tb_Auditoria[[#This Row],[Nº CONTRATO]],[1]!tb_Vendas[Nº Contrato],0)),0)</f>
        <v>305861.24</v>
      </c>
      <c r="K325" s="21">
        <f>IFERROR(tb_Auditoria[[#This Row],[VALOR ESPERADO]] / tb_Auditoria[[#This Row],[VALOR CRÉDITO]], 0)</f>
        <v>0</v>
      </c>
      <c r="L325" s="19" t="e">
        <f>SUMIFS([1]!Motor_Comissão[Valor Previsto],[1]!Motor_Comissão[Chave], tb_Auditoria[[#This Row],[Nº CONTRATO]]&amp;"-"&amp;tb_Auditoria[[#This Row],[PARCELA ATUAL]])</f>
        <v>#REF!</v>
      </c>
      <c r="M325" s="19" t="e">
        <f>tb_Auditoria[[#This Row],[VALOR PAGO]] - tb_Auditoria[[#This Row],[VALOR ESPERADO]]</f>
        <v>#REF!</v>
      </c>
      <c r="N3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26" spans="1:15">
      <c r="A326" s="9">
        <v>1151511</v>
      </c>
      <c r="B326" s="10">
        <v>5</v>
      </c>
      <c r="C326" s="28">
        <v>4.4799999999999996E-3</v>
      </c>
      <c r="D326" s="12">
        <f>tb_Auditoria[[#This Row],[% TAXA RELATÓRIO]]*tb_Auditoria[[#This Row],[VALOR CRÉDITO]]</f>
        <v>1299.3099391999997</v>
      </c>
      <c r="E326" s="13">
        <v>46038</v>
      </c>
      <c r="F326" s="13" t="s">
        <v>16</v>
      </c>
      <c r="G32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2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6" s="19">
        <f>IFERROR(INDEX([1]!tb_Vendas[Crédito],MATCH(tb_Auditoria[[#This Row],[Nº CONTRATO]],[1]!tb_Vendas[Nº Contrato],0)),0)</f>
        <v>290024.53999999998</v>
      </c>
      <c r="K326" s="21">
        <f>IFERROR(tb_Auditoria[[#This Row],[VALOR ESPERADO]] / tb_Auditoria[[#This Row],[VALOR CRÉDITO]], 0)</f>
        <v>0</v>
      </c>
      <c r="L326" s="19" t="e">
        <f>SUMIFS([1]!Motor_Comissão[Valor Previsto],[1]!Motor_Comissão[Chave], tb_Auditoria[[#This Row],[Nº CONTRATO]]&amp;"-"&amp;tb_Auditoria[[#This Row],[PARCELA ATUAL]])</f>
        <v>#REF!</v>
      </c>
      <c r="M326" s="19" t="e">
        <f>tb_Auditoria[[#This Row],[VALOR PAGO]] - tb_Auditoria[[#This Row],[VALOR ESPERADO]]</f>
        <v>#REF!</v>
      </c>
      <c r="N3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27" spans="1:15">
      <c r="A327" s="9">
        <v>1151512</v>
      </c>
      <c r="B327" s="10">
        <v>5</v>
      </c>
      <c r="C327" s="28">
        <v>4.4799999999999996E-3</v>
      </c>
      <c r="D327" s="12">
        <f>tb_Auditoria[[#This Row],[% TAXA RELATÓRIO]]*tb_Auditoria[[#This Row],[VALOR CRÉDITO]]</f>
        <v>1299.3099391999997</v>
      </c>
      <c r="E327" s="13">
        <v>46038</v>
      </c>
      <c r="F327" s="13" t="s">
        <v>16</v>
      </c>
      <c r="G32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2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7" s="19">
        <f>IFERROR(INDEX([1]!tb_Vendas[Crédito],MATCH(tb_Auditoria[[#This Row],[Nº CONTRATO]],[1]!tb_Vendas[Nº Contrato],0)),0)</f>
        <v>290024.53999999998</v>
      </c>
      <c r="K327" s="21">
        <f>IFERROR(tb_Auditoria[[#This Row],[VALOR ESPERADO]] / tb_Auditoria[[#This Row],[VALOR CRÉDITO]], 0)</f>
        <v>0</v>
      </c>
      <c r="L327" s="19" t="e">
        <f>SUMIFS([1]!Motor_Comissão[Valor Previsto],[1]!Motor_Comissão[Chave], tb_Auditoria[[#This Row],[Nº CONTRATO]]&amp;"-"&amp;tb_Auditoria[[#This Row],[PARCELA ATUAL]])</f>
        <v>#REF!</v>
      </c>
      <c r="M327" s="19" t="e">
        <f>tb_Auditoria[[#This Row],[VALOR PAGO]] - tb_Auditoria[[#This Row],[VALOR ESPERADO]]</f>
        <v>#REF!</v>
      </c>
      <c r="N3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28" spans="1:15">
      <c r="A328" s="9">
        <v>1151514</v>
      </c>
      <c r="B328" s="10">
        <v>5</v>
      </c>
      <c r="C328" s="28">
        <v>4.4799999999999996E-3</v>
      </c>
      <c r="D328" s="12">
        <f>tb_Auditoria[[#This Row],[% TAXA RELATÓRIO]]*tb_Auditoria[[#This Row],[VALOR CRÉDITO]]</f>
        <v>2685.3868607999998</v>
      </c>
      <c r="E328" s="13">
        <v>46038</v>
      </c>
      <c r="F328" s="13" t="s">
        <v>16</v>
      </c>
      <c r="G32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2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8" s="19">
        <f>IFERROR(INDEX([1]!tb_Vendas[Crédito],MATCH(tb_Auditoria[[#This Row],[Nº CONTRATO]],[1]!tb_Vendas[Nº Contrato],0)),0)</f>
        <v>599416.71</v>
      </c>
      <c r="K328" s="21">
        <f>IFERROR(tb_Auditoria[[#This Row],[VALOR ESPERADO]] / tb_Auditoria[[#This Row],[VALOR CRÉDITO]], 0)</f>
        <v>0</v>
      </c>
      <c r="L328" s="19" t="e">
        <f>SUMIFS([1]!Motor_Comissão[Valor Previsto],[1]!Motor_Comissão[Chave], tb_Auditoria[[#This Row],[Nº CONTRATO]]&amp;"-"&amp;tb_Auditoria[[#This Row],[PARCELA ATUAL]])</f>
        <v>#REF!</v>
      </c>
      <c r="M328" s="19" t="e">
        <f>tb_Auditoria[[#This Row],[VALOR PAGO]] - tb_Auditoria[[#This Row],[VALOR ESPERADO]]</f>
        <v>#REF!</v>
      </c>
      <c r="N3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29" spans="1:15">
      <c r="A329" s="9">
        <v>1151515</v>
      </c>
      <c r="B329" s="10">
        <v>5</v>
      </c>
      <c r="C329" s="28">
        <v>4.4799999999999996E-3</v>
      </c>
      <c r="D329" s="12">
        <f>tb_Auditoria[[#This Row],[% TAXA RELATÓRIO]]*tb_Auditoria[[#This Row],[VALOR CRÉDITO]]</f>
        <v>2685.3868607999998</v>
      </c>
      <c r="E329" s="13">
        <v>46038</v>
      </c>
      <c r="F329" s="13" t="s">
        <v>16</v>
      </c>
      <c r="G32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2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2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29" s="19">
        <f>IFERROR(INDEX([1]!tb_Vendas[Crédito],MATCH(tb_Auditoria[[#This Row],[Nº CONTRATO]],[1]!tb_Vendas[Nº Contrato],0)),0)</f>
        <v>599416.71</v>
      </c>
      <c r="K329" s="21">
        <f>IFERROR(tb_Auditoria[[#This Row],[VALOR ESPERADO]] / tb_Auditoria[[#This Row],[VALOR CRÉDITO]], 0)</f>
        <v>0</v>
      </c>
      <c r="L329" s="19" t="e">
        <f>SUMIFS([1]!Motor_Comissão[Valor Previsto],[1]!Motor_Comissão[Chave], tb_Auditoria[[#This Row],[Nº CONTRATO]]&amp;"-"&amp;tb_Auditoria[[#This Row],[PARCELA ATUAL]])</f>
        <v>#REF!</v>
      </c>
      <c r="M329" s="19" t="e">
        <f>tb_Auditoria[[#This Row],[VALOR PAGO]] - tb_Auditoria[[#This Row],[VALOR ESPERADO]]</f>
        <v>#REF!</v>
      </c>
      <c r="N3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30" spans="1:15">
      <c r="A330" s="9">
        <v>1151516</v>
      </c>
      <c r="B330" s="10">
        <v>5</v>
      </c>
      <c r="C330" s="28">
        <v>4.4799999999999996E-3</v>
      </c>
      <c r="D330" s="12">
        <f>tb_Auditoria[[#This Row],[% TAXA RELATÓRIO]]*tb_Auditoria[[#This Row],[VALOR CRÉDITO]]</f>
        <v>2685.3868607999998</v>
      </c>
      <c r="E330" s="13">
        <v>46038</v>
      </c>
      <c r="F330" s="13" t="s">
        <v>16</v>
      </c>
      <c r="G33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3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0" s="19">
        <f>IFERROR(INDEX([1]!tb_Vendas[Crédito],MATCH(tb_Auditoria[[#This Row],[Nº CONTRATO]],[1]!tb_Vendas[Nº Contrato],0)),0)</f>
        <v>599416.71</v>
      </c>
      <c r="K330" s="21">
        <f>IFERROR(tb_Auditoria[[#This Row],[VALOR ESPERADO]] / tb_Auditoria[[#This Row],[VALOR CRÉDITO]], 0)</f>
        <v>0</v>
      </c>
      <c r="L330" s="19" t="e">
        <f>SUMIFS([1]!Motor_Comissão[Valor Previsto],[1]!Motor_Comissão[Chave], tb_Auditoria[[#This Row],[Nº CONTRATO]]&amp;"-"&amp;tb_Auditoria[[#This Row],[PARCELA ATUAL]])</f>
        <v>#REF!</v>
      </c>
      <c r="M330" s="19" t="e">
        <f>tb_Auditoria[[#This Row],[VALOR PAGO]] - tb_Auditoria[[#This Row],[VALOR ESPERADO]]</f>
        <v>#REF!</v>
      </c>
      <c r="N3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31" spans="1:15">
      <c r="A331" s="9">
        <v>1151517</v>
      </c>
      <c r="B331" s="10">
        <v>5</v>
      </c>
      <c r="C331" s="28">
        <v>4.4799999999999996E-3</v>
      </c>
      <c r="D331" s="12">
        <f>tb_Auditoria[[#This Row],[% TAXA RELATÓRIO]]*tb_Auditoria[[#This Row],[VALOR CRÉDITO]]</f>
        <v>2685.3868607999998</v>
      </c>
      <c r="E331" s="13">
        <v>46038</v>
      </c>
      <c r="F331" s="13" t="s">
        <v>16</v>
      </c>
      <c r="G33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3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1" s="19">
        <f>IFERROR(INDEX([1]!tb_Vendas[Crédito],MATCH(tb_Auditoria[[#This Row],[Nº CONTRATO]],[1]!tb_Vendas[Nº Contrato],0)),0)</f>
        <v>599416.71</v>
      </c>
      <c r="K331" s="21">
        <f>IFERROR(tb_Auditoria[[#This Row],[VALOR ESPERADO]] / tb_Auditoria[[#This Row],[VALOR CRÉDITO]], 0)</f>
        <v>0</v>
      </c>
      <c r="L331" s="19" t="e">
        <f>SUMIFS([1]!Motor_Comissão[Valor Previsto],[1]!Motor_Comissão[Chave], tb_Auditoria[[#This Row],[Nº CONTRATO]]&amp;"-"&amp;tb_Auditoria[[#This Row],[PARCELA ATUAL]])</f>
        <v>#REF!</v>
      </c>
      <c r="M331" s="19" t="e">
        <f>tb_Auditoria[[#This Row],[VALOR PAGO]] - tb_Auditoria[[#This Row],[VALOR ESPERADO]]</f>
        <v>#REF!</v>
      </c>
      <c r="N3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32" spans="1:15">
      <c r="A332" s="9">
        <v>1151518</v>
      </c>
      <c r="B332" s="10">
        <v>5</v>
      </c>
      <c r="C332" s="28">
        <v>4.4799999999999996E-3</v>
      </c>
      <c r="D332" s="12">
        <f>tb_Auditoria[[#This Row],[% TAXA RELATÓRIO]]*tb_Auditoria[[#This Row],[VALOR CRÉDITO]]</f>
        <v>2685.3868607999998</v>
      </c>
      <c r="E332" s="13">
        <v>46038</v>
      </c>
      <c r="F332" s="13" t="s">
        <v>16</v>
      </c>
      <c r="G33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3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2" s="19">
        <f>IFERROR(INDEX([1]!tb_Vendas[Crédito],MATCH(tb_Auditoria[[#This Row],[Nº CONTRATO]],[1]!tb_Vendas[Nº Contrato],0)),0)</f>
        <v>599416.71</v>
      </c>
      <c r="K332" s="21">
        <f>IFERROR(tb_Auditoria[[#This Row],[VALOR ESPERADO]] / tb_Auditoria[[#This Row],[VALOR CRÉDITO]], 0)</f>
        <v>0</v>
      </c>
      <c r="L332" s="19" t="e">
        <f>SUMIFS([1]!Motor_Comissão[Valor Previsto],[1]!Motor_Comissão[Chave], tb_Auditoria[[#This Row],[Nº CONTRATO]]&amp;"-"&amp;tb_Auditoria[[#This Row],[PARCELA ATUAL]])</f>
        <v>#REF!</v>
      </c>
      <c r="M332" s="19" t="e">
        <f>tb_Auditoria[[#This Row],[VALOR PAGO]] - tb_Auditoria[[#This Row],[VALOR ESPERADO]]</f>
        <v>#REF!</v>
      </c>
      <c r="N3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33" spans="1:15">
      <c r="A333" s="9">
        <v>1151519</v>
      </c>
      <c r="B333" s="10">
        <v>5</v>
      </c>
      <c r="C333" s="28">
        <v>4.4799999999999996E-3</v>
      </c>
      <c r="D333" s="12">
        <f>tb_Auditoria[[#This Row],[% TAXA RELATÓRIO]]*tb_Auditoria[[#This Row],[VALOR CRÉDITO]]</f>
        <v>2685.3868607999998</v>
      </c>
      <c r="E333" s="13">
        <v>46038</v>
      </c>
      <c r="F333" s="13" t="s">
        <v>16</v>
      </c>
      <c r="G33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3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3" s="19">
        <f>IFERROR(INDEX([1]!tb_Vendas[Crédito],MATCH(tb_Auditoria[[#This Row],[Nº CONTRATO]],[1]!tb_Vendas[Nº Contrato],0)),0)</f>
        <v>599416.71</v>
      </c>
      <c r="K333" s="21">
        <f>IFERROR(tb_Auditoria[[#This Row],[VALOR ESPERADO]] / tb_Auditoria[[#This Row],[VALOR CRÉDITO]], 0)</f>
        <v>0</v>
      </c>
      <c r="L333" s="19" t="e">
        <f>SUMIFS([1]!Motor_Comissão[Valor Previsto],[1]!Motor_Comissão[Chave], tb_Auditoria[[#This Row],[Nº CONTRATO]]&amp;"-"&amp;tb_Auditoria[[#This Row],[PARCELA ATUAL]])</f>
        <v>#REF!</v>
      </c>
      <c r="M333" s="19" t="e">
        <f>tb_Auditoria[[#This Row],[VALOR PAGO]] - tb_Auditoria[[#This Row],[VALOR ESPERADO]]</f>
        <v>#REF!</v>
      </c>
      <c r="N3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34" spans="1:15">
      <c r="A334" s="9">
        <v>1151520</v>
      </c>
      <c r="B334" s="10">
        <v>5</v>
      </c>
      <c r="C334" s="28">
        <v>4.4799999999999996E-3</v>
      </c>
      <c r="D334" s="12">
        <f>tb_Auditoria[[#This Row],[% TAXA RELATÓRIO]]*tb_Auditoria[[#This Row],[VALOR CRÉDITO]]</f>
        <v>2685.3868607999998</v>
      </c>
      <c r="E334" s="13">
        <v>46038</v>
      </c>
      <c r="F334" s="13" t="s">
        <v>16</v>
      </c>
      <c r="G33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3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4" s="19">
        <f>IFERROR(INDEX([1]!tb_Vendas[Crédito],MATCH(tb_Auditoria[[#This Row],[Nº CONTRATO]],[1]!tb_Vendas[Nº Contrato],0)),0)</f>
        <v>599416.71</v>
      </c>
      <c r="K334" s="21">
        <f>IFERROR(tb_Auditoria[[#This Row],[VALOR ESPERADO]] / tb_Auditoria[[#This Row],[VALOR CRÉDITO]], 0)</f>
        <v>0</v>
      </c>
      <c r="L334" s="19" t="e">
        <f>SUMIFS([1]!Motor_Comissão[Valor Previsto],[1]!Motor_Comissão[Chave], tb_Auditoria[[#This Row],[Nº CONTRATO]]&amp;"-"&amp;tb_Auditoria[[#This Row],[PARCELA ATUAL]])</f>
        <v>#REF!</v>
      </c>
      <c r="M334" s="19" t="e">
        <f>tb_Auditoria[[#This Row],[VALOR PAGO]] - tb_Auditoria[[#This Row],[VALOR ESPERADO]]</f>
        <v>#REF!</v>
      </c>
      <c r="N3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35" spans="1:15">
      <c r="A335" s="9">
        <v>1151521</v>
      </c>
      <c r="B335" s="10">
        <v>5</v>
      </c>
      <c r="C335" s="28">
        <v>4.4799999999999996E-3</v>
      </c>
      <c r="D335" s="12">
        <f>tb_Auditoria[[#This Row],[% TAXA RELATÓRIO]]*tb_Auditoria[[#This Row],[VALOR CRÉDITO]]</f>
        <v>2685.3868607999998</v>
      </c>
      <c r="E335" s="13">
        <v>46038</v>
      </c>
      <c r="F335" s="13" t="s">
        <v>16</v>
      </c>
      <c r="G33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3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5" s="19">
        <f>IFERROR(INDEX([1]!tb_Vendas[Crédito],MATCH(tb_Auditoria[[#This Row],[Nº CONTRATO]],[1]!tb_Vendas[Nº Contrato],0)),0)</f>
        <v>599416.71</v>
      </c>
      <c r="K335" s="21">
        <f>IFERROR(tb_Auditoria[[#This Row],[VALOR ESPERADO]] / tb_Auditoria[[#This Row],[VALOR CRÉDITO]], 0)</f>
        <v>0</v>
      </c>
      <c r="L335" s="19" t="e">
        <f>SUMIFS([1]!Motor_Comissão[Valor Previsto],[1]!Motor_Comissão[Chave], tb_Auditoria[[#This Row],[Nº CONTRATO]]&amp;"-"&amp;tb_Auditoria[[#This Row],[PARCELA ATUAL]])</f>
        <v>#REF!</v>
      </c>
      <c r="M335" s="19" t="e">
        <f>tb_Auditoria[[#This Row],[VALOR PAGO]] - tb_Auditoria[[#This Row],[VALOR ESPERADO]]</f>
        <v>#REF!</v>
      </c>
      <c r="N3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36" spans="1:15">
      <c r="A336" s="9">
        <v>1151522</v>
      </c>
      <c r="B336" s="10">
        <v>5</v>
      </c>
      <c r="C336" s="28">
        <v>4.4799999999999996E-3</v>
      </c>
      <c r="D336" s="12">
        <f>tb_Auditoria[[#This Row],[% TAXA RELATÓRIO]]*tb_Auditoria[[#This Row],[VALOR CRÉDITO]]</f>
        <v>2685.3868607999998</v>
      </c>
      <c r="E336" s="13">
        <v>46038</v>
      </c>
      <c r="F336" s="13" t="s">
        <v>16</v>
      </c>
      <c r="G33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3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6" s="19">
        <f>IFERROR(INDEX([1]!tb_Vendas[Crédito],MATCH(tb_Auditoria[[#This Row],[Nº CONTRATO]],[1]!tb_Vendas[Nº Contrato],0)),0)</f>
        <v>599416.71</v>
      </c>
      <c r="K336" s="21">
        <f>IFERROR(tb_Auditoria[[#This Row],[VALOR ESPERADO]] / tb_Auditoria[[#This Row],[VALOR CRÉDITO]], 0)</f>
        <v>0</v>
      </c>
      <c r="L336" s="19" t="e">
        <f>SUMIFS([1]!Motor_Comissão[Valor Previsto],[1]!Motor_Comissão[Chave], tb_Auditoria[[#This Row],[Nº CONTRATO]]&amp;"-"&amp;tb_Auditoria[[#This Row],[PARCELA ATUAL]])</f>
        <v>#REF!</v>
      </c>
      <c r="M336" s="19" t="e">
        <f>tb_Auditoria[[#This Row],[VALOR PAGO]] - tb_Auditoria[[#This Row],[VALOR ESPERADO]]</f>
        <v>#REF!</v>
      </c>
      <c r="N3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37" spans="1:15">
      <c r="A337" s="9">
        <v>1151523</v>
      </c>
      <c r="B337" s="10">
        <v>5</v>
      </c>
      <c r="C337" s="28">
        <v>4.9919999999999999E-3</v>
      </c>
      <c r="D337" s="12">
        <f>tb_Auditoria[[#This Row],[% TAXA RELATÓRIO]]*tb_Auditoria[[#This Row],[VALOR CRÉDITO]]</f>
        <v>2229.8415859199999</v>
      </c>
      <c r="E337" s="13">
        <v>46038</v>
      </c>
      <c r="F337" s="13" t="s">
        <v>16</v>
      </c>
      <c r="G33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3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7" s="19">
        <f>IFERROR(INDEX([1]!tb_Vendas[Crédito],MATCH(tb_Auditoria[[#This Row],[Nº CONTRATO]],[1]!tb_Vendas[Nº Contrato],0)),0)</f>
        <v>446683.01</v>
      </c>
      <c r="K337" s="21">
        <f>IFERROR(tb_Auditoria[[#This Row],[VALOR ESPERADO]] / tb_Auditoria[[#This Row],[VALOR CRÉDITO]], 0)</f>
        <v>0</v>
      </c>
      <c r="L337" s="19" t="e">
        <f>SUMIFS([1]!Motor_Comissão[Valor Previsto],[1]!Motor_Comissão[Chave], tb_Auditoria[[#This Row],[Nº CONTRATO]]&amp;"-"&amp;tb_Auditoria[[#This Row],[PARCELA ATUAL]])</f>
        <v>#REF!</v>
      </c>
      <c r="M337" s="19" t="e">
        <f>tb_Auditoria[[#This Row],[VALOR PAGO]] - tb_Auditoria[[#This Row],[VALOR ESPERADO]]</f>
        <v>#REF!</v>
      </c>
      <c r="N3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38" spans="1:15">
      <c r="A338" s="9">
        <v>1151525</v>
      </c>
      <c r="B338" s="10">
        <v>5</v>
      </c>
      <c r="C338" s="28">
        <v>4.9919999999999999E-3</v>
      </c>
      <c r="D338" s="12">
        <f>tb_Auditoria[[#This Row],[% TAXA RELATÓRIO]]*tb_Auditoria[[#This Row],[VALOR CRÉDITO]]</f>
        <v>2229.8415859199999</v>
      </c>
      <c r="E338" s="13">
        <v>46038</v>
      </c>
      <c r="F338" s="13" t="s">
        <v>16</v>
      </c>
      <c r="G33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3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8" s="19">
        <f>IFERROR(INDEX([1]!tb_Vendas[Crédito],MATCH(tb_Auditoria[[#This Row],[Nº CONTRATO]],[1]!tb_Vendas[Nº Contrato],0)),0)</f>
        <v>446683.01</v>
      </c>
      <c r="K338" s="21">
        <f>IFERROR(tb_Auditoria[[#This Row],[VALOR ESPERADO]] / tb_Auditoria[[#This Row],[VALOR CRÉDITO]], 0)</f>
        <v>0</v>
      </c>
      <c r="L338" s="19" t="e">
        <f>SUMIFS([1]!Motor_Comissão[Valor Previsto],[1]!Motor_Comissão[Chave], tb_Auditoria[[#This Row],[Nº CONTRATO]]&amp;"-"&amp;tb_Auditoria[[#This Row],[PARCELA ATUAL]])</f>
        <v>#REF!</v>
      </c>
      <c r="M338" s="19" t="e">
        <f>tb_Auditoria[[#This Row],[VALOR PAGO]] - tb_Auditoria[[#This Row],[VALOR ESPERADO]]</f>
        <v>#REF!</v>
      </c>
      <c r="N3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39" spans="1:15">
      <c r="A339" s="9">
        <v>1151526</v>
      </c>
      <c r="B339" s="10">
        <v>5</v>
      </c>
      <c r="C339" s="28">
        <v>5.1200000000000004E-3</v>
      </c>
      <c r="D339" s="12">
        <f>tb_Auditoria[[#This Row],[% TAXA RELATÓRIO]]*tb_Auditoria[[#This Row],[VALOR CRÉDITO]]</f>
        <v>2048</v>
      </c>
      <c r="E339" s="13">
        <v>46038</v>
      </c>
      <c r="F339" s="13" t="s">
        <v>16</v>
      </c>
      <c r="G33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3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3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39" s="19">
        <f>IFERROR(INDEX([1]!tb_Vendas[Crédito],MATCH(tb_Auditoria[[#This Row],[Nº CONTRATO]],[1]!tb_Vendas[Nº Contrato],0)),0)</f>
        <v>400000</v>
      </c>
      <c r="K339" s="21">
        <f>IFERROR(tb_Auditoria[[#This Row],[VALOR ESPERADO]] / tb_Auditoria[[#This Row],[VALOR CRÉDITO]], 0)</f>
        <v>0</v>
      </c>
      <c r="L339" s="19" t="e">
        <f>SUMIFS([1]!Motor_Comissão[Valor Previsto],[1]!Motor_Comissão[Chave], tb_Auditoria[[#This Row],[Nº CONTRATO]]&amp;"-"&amp;tb_Auditoria[[#This Row],[PARCELA ATUAL]])</f>
        <v>#REF!</v>
      </c>
      <c r="M339" s="19" t="e">
        <f>tb_Auditoria[[#This Row],[VALOR PAGO]] - tb_Auditoria[[#This Row],[VALOR ESPERADO]]</f>
        <v>#REF!</v>
      </c>
      <c r="N3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40" spans="1:15">
      <c r="A340" s="9">
        <v>1151527</v>
      </c>
      <c r="B340" s="10">
        <v>5</v>
      </c>
      <c r="C340" s="28">
        <v>5.1200000000000004E-3</v>
      </c>
      <c r="D340" s="12">
        <f>tb_Auditoria[[#This Row],[% TAXA RELATÓRIO]]*tb_Auditoria[[#This Row],[VALOR CRÉDITO]]</f>
        <v>2048</v>
      </c>
      <c r="E340" s="13">
        <v>46038</v>
      </c>
      <c r="F340" s="13" t="s">
        <v>16</v>
      </c>
      <c r="G34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4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0" s="19">
        <f>IFERROR(INDEX([1]!tb_Vendas[Crédito],MATCH(tb_Auditoria[[#This Row],[Nº CONTRATO]],[1]!tb_Vendas[Nº Contrato],0)),0)</f>
        <v>400000</v>
      </c>
      <c r="K340" s="21">
        <f>IFERROR(tb_Auditoria[[#This Row],[VALOR ESPERADO]] / tb_Auditoria[[#This Row],[VALOR CRÉDITO]], 0)</f>
        <v>0</v>
      </c>
      <c r="L340" s="19" t="e">
        <f>SUMIFS([1]!Motor_Comissão[Valor Previsto],[1]!Motor_Comissão[Chave], tb_Auditoria[[#This Row],[Nº CONTRATO]]&amp;"-"&amp;tb_Auditoria[[#This Row],[PARCELA ATUAL]])</f>
        <v>#REF!</v>
      </c>
      <c r="M340" s="19" t="e">
        <f>tb_Auditoria[[#This Row],[VALOR PAGO]] - tb_Auditoria[[#This Row],[VALOR ESPERADO]]</f>
        <v>#REF!</v>
      </c>
      <c r="N3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41" spans="1:15">
      <c r="A341" s="9">
        <v>1151528</v>
      </c>
      <c r="B341" s="10">
        <v>5</v>
      </c>
      <c r="C341" s="28">
        <v>5.1200000000000004E-3</v>
      </c>
      <c r="D341" s="12">
        <f>tb_Auditoria[[#This Row],[% TAXA RELATÓRIO]]*tb_Auditoria[[#This Row],[VALOR CRÉDITO]]</f>
        <v>2048</v>
      </c>
      <c r="E341" s="13">
        <v>46038</v>
      </c>
      <c r="F341" s="13" t="s">
        <v>16</v>
      </c>
      <c r="G34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4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1" s="19">
        <f>IFERROR(INDEX([1]!tb_Vendas[Crédito],MATCH(tb_Auditoria[[#This Row],[Nº CONTRATO]],[1]!tb_Vendas[Nº Contrato],0)),0)</f>
        <v>400000</v>
      </c>
      <c r="K341" s="21">
        <f>IFERROR(tb_Auditoria[[#This Row],[VALOR ESPERADO]] / tb_Auditoria[[#This Row],[VALOR CRÉDITO]], 0)</f>
        <v>0</v>
      </c>
      <c r="L341" s="19" t="e">
        <f>SUMIFS([1]!Motor_Comissão[Valor Previsto],[1]!Motor_Comissão[Chave], tb_Auditoria[[#This Row],[Nº CONTRATO]]&amp;"-"&amp;tb_Auditoria[[#This Row],[PARCELA ATUAL]])</f>
        <v>#REF!</v>
      </c>
      <c r="M341" s="19" t="e">
        <f>tb_Auditoria[[#This Row],[VALOR PAGO]] - tb_Auditoria[[#This Row],[VALOR ESPERADO]]</f>
        <v>#REF!</v>
      </c>
      <c r="N3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42" spans="1:15">
      <c r="A342" s="9">
        <v>1151529</v>
      </c>
      <c r="B342" s="10">
        <v>5</v>
      </c>
      <c r="C342" s="28">
        <v>5.1200000000000004E-3</v>
      </c>
      <c r="D342" s="12">
        <f>tb_Auditoria[[#This Row],[% TAXA RELATÓRIO]]*tb_Auditoria[[#This Row],[VALOR CRÉDITO]]</f>
        <v>2048</v>
      </c>
      <c r="E342" s="13">
        <v>46038</v>
      </c>
      <c r="F342" s="13" t="s">
        <v>16</v>
      </c>
      <c r="G34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4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2" s="19">
        <f>IFERROR(INDEX([1]!tb_Vendas[Crédito],MATCH(tb_Auditoria[[#This Row],[Nº CONTRATO]],[1]!tb_Vendas[Nº Contrato],0)),0)</f>
        <v>400000</v>
      </c>
      <c r="K342" s="21">
        <f>IFERROR(tb_Auditoria[[#This Row],[VALOR ESPERADO]] / tb_Auditoria[[#This Row],[VALOR CRÉDITO]], 0)</f>
        <v>0</v>
      </c>
      <c r="L342" s="19" t="e">
        <f>SUMIFS([1]!Motor_Comissão[Valor Previsto],[1]!Motor_Comissão[Chave], tb_Auditoria[[#This Row],[Nº CONTRATO]]&amp;"-"&amp;tb_Auditoria[[#This Row],[PARCELA ATUAL]])</f>
        <v>#REF!</v>
      </c>
      <c r="M342" s="19" t="e">
        <f>tb_Auditoria[[#This Row],[VALOR PAGO]] - tb_Auditoria[[#This Row],[VALOR ESPERADO]]</f>
        <v>#REF!</v>
      </c>
      <c r="N3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43" spans="1:15">
      <c r="A343" s="9">
        <v>1151530</v>
      </c>
      <c r="B343" s="10">
        <v>5</v>
      </c>
      <c r="C343" s="28">
        <v>5.1200000000000004E-3</v>
      </c>
      <c r="D343" s="12">
        <f>tb_Auditoria[[#This Row],[% TAXA RELATÓRIO]]*tb_Auditoria[[#This Row],[VALOR CRÉDITO]]</f>
        <v>2048</v>
      </c>
      <c r="E343" s="13">
        <v>46038</v>
      </c>
      <c r="F343" s="13" t="s">
        <v>16</v>
      </c>
      <c r="G34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4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3" s="19">
        <f>IFERROR(INDEX([1]!tb_Vendas[Crédito],MATCH(tb_Auditoria[[#This Row],[Nº CONTRATO]],[1]!tb_Vendas[Nº Contrato],0)),0)</f>
        <v>400000</v>
      </c>
      <c r="K343" s="21">
        <f>IFERROR(tb_Auditoria[[#This Row],[VALOR ESPERADO]] / tb_Auditoria[[#This Row],[VALOR CRÉDITO]], 0)</f>
        <v>0</v>
      </c>
      <c r="L343" s="19" t="e">
        <f>SUMIFS([1]!Motor_Comissão[Valor Previsto],[1]!Motor_Comissão[Chave], tb_Auditoria[[#This Row],[Nº CONTRATO]]&amp;"-"&amp;tb_Auditoria[[#This Row],[PARCELA ATUAL]])</f>
        <v>#REF!</v>
      </c>
      <c r="M343" s="19" t="e">
        <f>tb_Auditoria[[#This Row],[VALOR PAGO]] - tb_Auditoria[[#This Row],[VALOR ESPERADO]]</f>
        <v>#REF!</v>
      </c>
      <c r="N3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44" spans="1:15">
      <c r="A344" s="9">
        <v>1151532</v>
      </c>
      <c r="B344" s="10">
        <v>5</v>
      </c>
      <c r="C344" s="28">
        <v>1.72E-3</v>
      </c>
      <c r="D344" s="12">
        <f>tb_Auditoria[[#This Row],[% TAXA RELATÓRIO]]*tb_Auditoria[[#This Row],[VALOR CRÉDITO]]</f>
        <v>731</v>
      </c>
      <c r="E344" s="13">
        <v>46038</v>
      </c>
      <c r="F344" s="13" t="s">
        <v>16</v>
      </c>
      <c r="G34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4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4" s="19">
        <f>IFERROR(INDEX([1]!tb_Vendas[Crédito],MATCH(tb_Auditoria[[#This Row],[Nº CONTRATO]],[1]!tb_Vendas[Nº Contrato],0)),0)</f>
        <v>425000</v>
      </c>
      <c r="K344" s="21">
        <f>IFERROR(tb_Auditoria[[#This Row],[VALOR ESPERADO]] / tb_Auditoria[[#This Row],[VALOR CRÉDITO]], 0)</f>
        <v>0</v>
      </c>
      <c r="L344" s="19" t="e">
        <f>SUMIFS([1]!Motor_Comissão[Valor Previsto],[1]!Motor_Comissão[Chave], tb_Auditoria[[#This Row],[Nº CONTRATO]]&amp;"-"&amp;tb_Auditoria[[#This Row],[PARCELA ATUAL]])</f>
        <v>#REF!</v>
      </c>
      <c r="M344" s="19" t="e">
        <f>tb_Auditoria[[#This Row],[VALOR PAGO]] - tb_Auditoria[[#This Row],[VALOR ESPERADO]]</f>
        <v>#REF!</v>
      </c>
      <c r="N3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45" spans="1:15">
      <c r="A345" s="9">
        <v>1151535</v>
      </c>
      <c r="B345" s="10">
        <v>5</v>
      </c>
      <c r="C345" s="28">
        <v>1.5479999999999999E-3</v>
      </c>
      <c r="D345" s="12">
        <f>tb_Auditoria[[#This Row],[% TAXA RELATÓRIO]]*tb_Auditoria[[#This Row],[VALOR CRÉDITO]]</f>
        <v>619.19999999999993</v>
      </c>
      <c r="E345" s="13">
        <v>46038</v>
      </c>
      <c r="F345" s="13" t="s">
        <v>16</v>
      </c>
      <c r="G34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4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5" s="19">
        <f>IFERROR(INDEX([1]!tb_Vendas[Crédito],MATCH(tb_Auditoria[[#This Row],[Nº CONTRATO]],[1]!tb_Vendas[Nº Contrato],0)),0)</f>
        <v>400000</v>
      </c>
      <c r="K345" s="21">
        <f>IFERROR(tb_Auditoria[[#This Row],[VALOR ESPERADO]] / tb_Auditoria[[#This Row],[VALOR CRÉDITO]], 0)</f>
        <v>0</v>
      </c>
      <c r="L345" s="19" t="e">
        <f>SUMIFS([1]!Motor_Comissão[Valor Previsto],[1]!Motor_Comissão[Chave], tb_Auditoria[[#This Row],[Nº CONTRATO]]&amp;"-"&amp;tb_Auditoria[[#This Row],[PARCELA ATUAL]])</f>
        <v>#REF!</v>
      </c>
      <c r="M345" s="19" t="e">
        <f>tb_Auditoria[[#This Row],[VALOR PAGO]] - tb_Auditoria[[#This Row],[VALOR ESPERADO]]</f>
        <v>#REF!</v>
      </c>
      <c r="N3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46" spans="1:15">
      <c r="A346" s="9">
        <v>1151536</v>
      </c>
      <c r="B346" s="10">
        <v>5</v>
      </c>
      <c r="C346" s="28">
        <v>1.5479999999999999E-3</v>
      </c>
      <c r="D346" s="12">
        <f>tb_Auditoria[[#This Row],[% TAXA RELATÓRIO]]*tb_Auditoria[[#This Row],[VALOR CRÉDITO]]</f>
        <v>619.19999999999993</v>
      </c>
      <c r="E346" s="13">
        <v>46038</v>
      </c>
      <c r="F346" s="13" t="s">
        <v>16</v>
      </c>
      <c r="G34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4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6" s="19">
        <f>IFERROR(INDEX([1]!tb_Vendas[Crédito],MATCH(tb_Auditoria[[#This Row],[Nº CONTRATO]],[1]!tb_Vendas[Nº Contrato],0)),0)</f>
        <v>400000</v>
      </c>
      <c r="K346" s="21">
        <f>IFERROR(tb_Auditoria[[#This Row],[VALOR ESPERADO]] / tb_Auditoria[[#This Row],[VALOR CRÉDITO]], 0)</f>
        <v>0</v>
      </c>
      <c r="L346" s="19" t="e">
        <f>SUMIFS([1]!Motor_Comissão[Valor Previsto],[1]!Motor_Comissão[Chave], tb_Auditoria[[#This Row],[Nº CONTRATO]]&amp;"-"&amp;tb_Auditoria[[#This Row],[PARCELA ATUAL]])</f>
        <v>#REF!</v>
      </c>
      <c r="M346" s="19" t="e">
        <f>tb_Auditoria[[#This Row],[VALOR PAGO]] - tb_Auditoria[[#This Row],[VALOR ESPERADO]]</f>
        <v>#REF!</v>
      </c>
      <c r="N3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47" spans="1:15">
      <c r="A347" s="9">
        <v>1151537</v>
      </c>
      <c r="B347" s="10">
        <v>5</v>
      </c>
      <c r="C347" s="28">
        <v>4.8640000000000003E-3</v>
      </c>
      <c r="D347" s="12">
        <f>tb_Auditoria[[#This Row],[% TAXA RELATÓRIO]]*tb_Auditoria[[#This Row],[VALOR CRÉDITO]]</f>
        <v>1459.2</v>
      </c>
      <c r="E347" s="13">
        <v>46038</v>
      </c>
      <c r="F347" s="13" t="s">
        <v>16</v>
      </c>
      <c r="G34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4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7" s="19">
        <f>IFERROR(INDEX([1]!tb_Vendas[Crédito],MATCH(tb_Auditoria[[#This Row],[Nº CONTRATO]],[1]!tb_Vendas[Nº Contrato],0)),0)</f>
        <v>300000</v>
      </c>
      <c r="K347" s="21">
        <f>IFERROR(tb_Auditoria[[#This Row],[VALOR ESPERADO]] / tb_Auditoria[[#This Row],[VALOR CRÉDITO]], 0)</f>
        <v>0</v>
      </c>
      <c r="L347" s="19" t="e">
        <f>SUMIFS([1]!Motor_Comissão[Valor Previsto],[1]!Motor_Comissão[Chave], tb_Auditoria[[#This Row],[Nº CONTRATO]]&amp;"-"&amp;tb_Auditoria[[#This Row],[PARCELA ATUAL]])</f>
        <v>#REF!</v>
      </c>
      <c r="M347" s="19" t="e">
        <f>tb_Auditoria[[#This Row],[VALOR PAGO]] - tb_Auditoria[[#This Row],[VALOR ESPERADO]]</f>
        <v>#REF!</v>
      </c>
      <c r="N3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48" spans="1:15">
      <c r="A348" s="9">
        <v>1151539</v>
      </c>
      <c r="B348" s="10">
        <v>5</v>
      </c>
      <c r="C348" s="28">
        <v>4.8640000000000003E-3</v>
      </c>
      <c r="D348" s="12">
        <f>tb_Auditoria[[#This Row],[% TAXA RELATÓRIO]]*tb_Auditoria[[#This Row],[VALOR CRÉDITO]]</f>
        <v>1556.48</v>
      </c>
      <c r="E348" s="13">
        <v>46038</v>
      </c>
      <c r="F348" s="13" t="s">
        <v>16</v>
      </c>
      <c r="G34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4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8" s="19">
        <f>IFERROR(INDEX([1]!tb_Vendas[Crédito],MATCH(tb_Auditoria[[#This Row],[Nº CONTRATO]],[1]!tb_Vendas[Nº Contrato],0)),0)</f>
        <v>320000</v>
      </c>
      <c r="K348" s="21">
        <f>IFERROR(tb_Auditoria[[#This Row],[VALOR ESPERADO]] / tb_Auditoria[[#This Row],[VALOR CRÉDITO]], 0)</f>
        <v>0</v>
      </c>
      <c r="L348" s="19" t="e">
        <f>SUMIFS([1]!Motor_Comissão[Valor Previsto],[1]!Motor_Comissão[Chave], tb_Auditoria[[#This Row],[Nº CONTRATO]]&amp;"-"&amp;tb_Auditoria[[#This Row],[PARCELA ATUAL]])</f>
        <v>#REF!</v>
      </c>
      <c r="M348" s="19" t="e">
        <f>tb_Auditoria[[#This Row],[VALOR PAGO]] - tb_Auditoria[[#This Row],[VALOR ESPERADO]]</f>
        <v>#REF!</v>
      </c>
      <c r="N3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P4)</v>
      </c>
    </row>
    <row r="349" spans="1:15">
      <c r="A349" s="9">
        <v>1151501</v>
      </c>
      <c r="B349" s="10">
        <v>6</v>
      </c>
      <c r="C349" s="28">
        <v>4.7359999999999998E-3</v>
      </c>
      <c r="D349" s="12">
        <f>tb_Auditoria[[#This Row],[% TAXA RELATÓRIO]]*tb_Auditoria[[#This Row],[VALOR CRÉDITO]]</f>
        <v>1352.0867967999998</v>
      </c>
      <c r="E349" s="13">
        <v>46072</v>
      </c>
      <c r="F349" s="13" t="s">
        <v>16</v>
      </c>
      <c r="G34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4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4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49" s="19">
        <f>IFERROR(INDEX([1]!tb_Vendas[Crédito],MATCH(tb_Auditoria[[#This Row],[Nº CONTRATO]],[1]!tb_Vendas[Nº Contrato],0)),0)</f>
        <v>285491.3</v>
      </c>
      <c r="K349" s="21">
        <f>IFERROR(tb_Auditoria[[#This Row],[VALOR ESPERADO]] / tb_Auditoria[[#This Row],[VALOR CRÉDITO]], 0)</f>
        <v>0</v>
      </c>
      <c r="L349" s="19" t="e">
        <f>SUMIFS([1]!Motor_Comissão[Valor Previsto],[1]!Motor_Comissão[Chave], tb_Auditoria[[#This Row],[Nº CONTRATO]]&amp;"-"&amp;tb_Auditoria[[#This Row],[PARCELA ATUAL]])</f>
        <v>#REF!</v>
      </c>
      <c r="M349" s="19" t="e">
        <f>tb_Auditoria[[#This Row],[VALOR PAGO]] - tb_Auditoria[[#This Row],[VALOR ESPERADO]]</f>
        <v>#REF!</v>
      </c>
      <c r="N3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0" spans="1:15">
      <c r="A350" s="9">
        <v>1151503</v>
      </c>
      <c r="B350" s="10">
        <v>6</v>
      </c>
      <c r="C350" s="28">
        <v>4.7359999999999998E-3</v>
      </c>
      <c r="D350" s="12">
        <f>tb_Auditoria[[#This Row],[% TAXA RELATÓRIO]]*tb_Auditoria[[#This Row],[VALOR CRÉDITO]]</f>
        <v>1352.0867967999998</v>
      </c>
      <c r="E350" s="13">
        <v>46072</v>
      </c>
      <c r="F350" s="13" t="s">
        <v>16</v>
      </c>
      <c r="G35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5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0" s="19">
        <f>IFERROR(INDEX([1]!tb_Vendas[Crédito],MATCH(tb_Auditoria[[#This Row],[Nº CONTRATO]],[1]!tb_Vendas[Nº Contrato],0)),0)</f>
        <v>285491.3</v>
      </c>
      <c r="K350" s="21">
        <f>IFERROR(tb_Auditoria[[#This Row],[VALOR ESPERADO]] / tb_Auditoria[[#This Row],[VALOR CRÉDITO]], 0)</f>
        <v>0</v>
      </c>
      <c r="L350" s="19" t="e">
        <f>SUMIFS([1]!Motor_Comissão[Valor Previsto],[1]!Motor_Comissão[Chave], tb_Auditoria[[#This Row],[Nº CONTRATO]]&amp;"-"&amp;tb_Auditoria[[#This Row],[PARCELA ATUAL]])</f>
        <v>#REF!</v>
      </c>
      <c r="M350" s="19" t="e">
        <f>tb_Auditoria[[#This Row],[VALOR PAGO]] - tb_Auditoria[[#This Row],[VALOR ESPERADO]]</f>
        <v>#REF!</v>
      </c>
      <c r="N3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1" spans="1:15">
      <c r="A351" s="9">
        <v>1151505</v>
      </c>
      <c r="B351" s="10">
        <v>6</v>
      </c>
      <c r="C351" s="28">
        <v>4.7359999999999998E-3</v>
      </c>
      <c r="D351" s="12">
        <f>tb_Auditoria[[#This Row],[% TAXA RELATÓRIO]]*tb_Auditoria[[#This Row],[VALOR CRÉDITO]]</f>
        <v>1352.0867967999998</v>
      </c>
      <c r="E351" s="13">
        <v>46072</v>
      </c>
      <c r="F351" s="13" t="s">
        <v>16</v>
      </c>
      <c r="G35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5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1" s="19">
        <f>IFERROR(INDEX([1]!tb_Vendas[Crédito],MATCH(tb_Auditoria[[#This Row],[Nº CONTRATO]],[1]!tb_Vendas[Nº Contrato],0)),0)</f>
        <v>285491.3</v>
      </c>
      <c r="K351" s="21">
        <f>IFERROR(tb_Auditoria[[#This Row],[VALOR ESPERADO]] / tb_Auditoria[[#This Row],[VALOR CRÉDITO]], 0)</f>
        <v>0</v>
      </c>
      <c r="L351" s="19" t="e">
        <f>SUMIFS([1]!Motor_Comissão[Valor Previsto],[1]!Motor_Comissão[Chave], tb_Auditoria[[#This Row],[Nº CONTRATO]]&amp;"-"&amp;tb_Auditoria[[#This Row],[PARCELA ATUAL]])</f>
        <v>#REF!</v>
      </c>
      <c r="M351" s="19" t="e">
        <f>tb_Auditoria[[#This Row],[VALOR PAGO]] - tb_Auditoria[[#This Row],[VALOR ESPERADO]]</f>
        <v>#REF!</v>
      </c>
      <c r="N3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2" spans="1:15">
      <c r="A352" s="9">
        <v>1151506</v>
      </c>
      <c r="B352" s="10">
        <v>6</v>
      </c>
      <c r="C352" s="28">
        <v>4.4799999999999996E-3</v>
      </c>
      <c r="D352" s="12">
        <f>tb_Auditoria[[#This Row],[% TAXA RELATÓRIO]]*tb_Auditoria[[#This Row],[VALOR CRÉDITO]]</f>
        <v>1370.2583551999999</v>
      </c>
      <c r="E352" s="13">
        <v>46072</v>
      </c>
      <c r="F352" s="13" t="s">
        <v>16</v>
      </c>
      <c r="G35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5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2" s="19">
        <f>IFERROR(INDEX([1]!tb_Vendas[Crédito],MATCH(tb_Auditoria[[#This Row],[Nº CONTRATO]],[1]!tb_Vendas[Nº Contrato],0)),0)</f>
        <v>305861.24</v>
      </c>
      <c r="K352" s="21">
        <f>IFERROR(tb_Auditoria[[#This Row],[VALOR ESPERADO]] / tb_Auditoria[[#This Row],[VALOR CRÉDITO]], 0)</f>
        <v>0</v>
      </c>
      <c r="L352" s="19" t="e">
        <f>SUMIFS([1]!Motor_Comissão[Valor Previsto],[1]!Motor_Comissão[Chave], tb_Auditoria[[#This Row],[Nº CONTRATO]]&amp;"-"&amp;tb_Auditoria[[#This Row],[PARCELA ATUAL]])</f>
        <v>#REF!</v>
      </c>
      <c r="M352" s="19" t="e">
        <f>tb_Auditoria[[#This Row],[VALOR PAGO]] - tb_Auditoria[[#This Row],[VALOR ESPERADO]]</f>
        <v>#REF!</v>
      </c>
      <c r="N3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3" spans="1:15">
      <c r="A353" s="9">
        <v>1151507</v>
      </c>
      <c r="B353" s="10">
        <v>6</v>
      </c>
      <c r="C353" s="28">
        <v>4.4799999999999996E-3</v>
      </c>
      <c r="D353" s="12">
        <f>tb_Auditoria[[#This Row],[% TAXA RELATÓRIO]]*tb_Auditoria[[#This Row],[VALOR CRÉDITO]]</f>
        <v>1370.2583551999999</v>
      </c>
      <c r="E353" s="13">
        <v>46072</v>
      </c>
      <c r="F353" s="13" t="s">
        <v>16</v>
      </c>
      <c r="G35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5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3" s="19">
        <f>IFERROR(INDEX([1]!tb_Vendas[Crédito],MATCH(tb_Auditoria[[#This Row],[Nº CONTRATO]],[1]!tb_Vendas[Nº Contrato],0)),0)</f>
        <v>305861.24</v>
      </c>
      <c r="K353" s="21">
        <f>IFERROR(tb_Auditoria[[#This Row],[VALOR ESPERADO]] / tb_Auditoria[[#This Row],[VALOR CRÉDITO]], 0)</f>
        <v>0</v>
      </c>
      <c r="L353" s="19" t="e">
        <f>SUMIFS([1]!Motor_Comissão[Valor Previsto],[1]!Motor_Comissão[Chave], tb_Auditoria[[#This Row],[Nº CONTRATO]]&amp;"-"&amp;tb_Auditoria[[#This Row],[PARCELA ATUAL]])</f>
        <v>#REF!</v>
      </c>
      <c r="M353" s="19" t="e">
        <f>tb_Auditoria[[#This Row],[VALOR PAGO]] - tb_Auditoria[[#This Row],[VALOR ESPERADO]]</f>
        <v>#REF!</v>
      </c>
      <c r="N3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4" spans="1:15">
      <c r="A354" s="9">
        <v>1151509</v>
      </c>
      <c r="B354" s="10">
        <v>6</v>
      </c>
      <c r="C354" s="28">
        <v>4.4799999999999996E-3</v>
      </c>
      <c r="D354" s="12">
        <f>tb_Auditoria[[#This Row],[% TAXA RELATÓRIO]]*tb_Auditoria[[#This Row],[VALOR CRÉDITO]]</f>
        <v>1370.2583551999999</v>
      </c>
      <c r="E354" s="13">
        <v>46072</v>
      </c>
      <c r="F354" s="13" t="s">
        <v>16</v>
      </c>
      <c r="G35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5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4" s="19">
        <f>IFERROR(INDEX([1]!tb_Vendas[Crédito],MATCH(tb_Auditoria[[#This Row],[Nº CONTRATO]],[1]!tb_Vendas[Nº Contrato],0)),0)</f>
        <v>305861.24</v>
      </c>
      <c r="K354" s="21">
        <f>IFERROR(tb_Auditoria[[#This Row],[VALOR ESPERADO]] / tb_Auditoria[[#This Row],[VALOR CRÉDITO]], 0)</f>
        <v>0</v>
      </c>
      <c r="L354" s="19" t="e">
        <f>SUMIFS([1]!Motor_Comissão[Valor Previsto],[1]!Motor_Comissão[Chave], tb_Auditoria[[#This Row],[Nº CONTRATO]]&amp;"-"&amp;tb_Auditoria[[#This Row],[PARCELA ATUAL]])</f>
        <v>#REF!</v>
      </c>
      <c r="M354" s="19" t="e">
        <f>tb_Auditoria[[#This Row],[VALOR PAGO]] - tb_Auditoria[[#This Row],[VALOR ESPERADO]]</f>
        <v>#REF!</v>
      </c>
      <c r="N3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5" spans="1:15">
      <c r="A355" s="9">
        <v>1151510</v>
      </c>
      <c r="B355" s="10">
        <v>6</v>
      </c>
      <c r="C355" s="28">
        <v>4.4799999999999996E-3</v>
      </c>
      <c r="D355" s="12">
        <f>tb_Auditoria[[#This Row],[% TAXA RELATÓRIO]]*tb_Auditoria[[#This Row],[VALOR CRÉDITO]]</f>
        <v>1370.2583551999999</v>
      </c>
      <c r="E355" s="13">
        <v>46072</v>
      </c>
      <c r="F355" s="13" t="s">
        <v>16</v>
      </c>
      <c r="G35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5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5" s="19">
        <f>IFERROR(INDEX([1]!tb_Vendas[Crédito],MATCH(tb_Auditoria[[#This Row],[Nº CONTRATO]],[1]!tb_Vendas[Nº Contrato],0)),0)</f>
        <v>305861.24</v>
      </c>
      <c r="K355" s="21">
        <f>IFERROR(tb_Auditoria[[#This Row],[VALOR ESPERADO]] / tb_Auditoria[[#This Row],[VALOR CRÉDITO]], 0)</f>
        <v>0</v>
      </c>
      <c r="L355" s="19" t="e">
        <f>SUMIFS([1]!Motor_Comissão[Valor Previsto],[1]!Motor_Comissão[Chave], tb_Auditoria[[#This Row],[Nº CONTRATO]]&amp;"-"&amp;tb_Auditoria[[#This Row],[PARCELA ATUAL]])</f>
        <v>#REF!</v>
      </c>
      <c r="M355" s="19" t="e">
        <f>tb_Auditoria[[#This Row],[VALOR PAGO]] - tb_Auditoria[[#This Row],[VALOR ESPERADO]]</f>
        <v>#REF!</v>
      </c>
      <c r="N3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6" spans="1:15">
      <c r="A356" s="9">
        <v>1151511</v>
      </c>
      <c r="B356" s="10">
        <v>6</v>
      </c>
      <c r="C356" s="28">
        <v>4.4799999999999996E-3</v>
      </c>
      <c r="D356" s="12">
        <f>tb_Auditoria[[#This Row],[% TAXA RELATÓRIO]]*tb_Auditoria[[#This Row],[VALOR CRÉDITO]]</f>
        <v>1299.3099391999997</v>
      </c>
      <c r="E356" s="13">
        <v>46072</v>
      </c>
      <c r="F356" s="13" t="s">
        <v>16</v>
      </c>
      <c r="G35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5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6" s="19">
        <f>IFERROR(INDEX([1]!tb_Vendas[Crédito],MATCH(tb_Auditoria[[#This Row],[Nº CONTRATO]],[1]!tb_Vendas[Nº Contrato],0)),0)</f>
        <v>290024.53999999998</v>
      </c>
      <c r="K356" s="21">
        <f>IFERROR(tb_Auditoria[[#This Row],[VALOR ESPERADO]] / tb_Auditoria[[#This Row],[VALOR CRÉDITO]], 0)</f>
        <v>0</v>
      </c>
      <c r="L356" s="19" t="e">
        <f>SUMIFS([1]!Motor_Comissão[Valor Previsto],[1]!Motor_Comissão[Chave], tb_Auditoria[[#This Row],[Nº CONTRATO]]&amp;"-"&amp;tb_Auditoria[[#This Row],[PARCELA ATUAL]])</f>
        <v>#REF!</v>
      </c>
      <c r="M356" s="19" t="e">
        <f>tb_Auditoria[[#This Row],[VALOR PAGO]] - tb_Auditoria[[#This Row],[VALOR ESPERADO]]</f>
        <v>#REF!</v>
      </c>
      <c r="N3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7" spans="1:15">
      <c r="A357" s="9">
        <v>1151512</v>
      </c>
      <c r="B357" s="10">
        <v>6</v>
      </c>
      <c r="C357" s="28">
        <v>4.4799999999999996E-3</v>
      </c>
      <c r="D357" s="12">
        <f>tb_Auditoria[[#This Row],[% TAXA RELATÓRIO]]*tb_Auditoria[[#This Row],[VALOR CRÉDITO]]</f>
        <v>1299.3099391999997</v>
      </c>
      <c r="E357" s="13">
        <v>46072</v>
      </c>
      <c r="F357" s="13" t="s">
        <v>16</v>
      </c>
      <c r="G35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5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7" s="19">
        <f>IFERROR(INDEX([1]!tb_Vendas[Crédito],MATCH(tb_Auditoria[[#This Row],[Nº CONTRATO]],[1]!tb_Vendas[Nº Contrato],0)),0)</f>
        <v>290024.53999999998</v>
      </c>
      <c r="K357" s="21">
        <f>IFERROR(tb_Auditoria[[#This Row],[VALOR ESPERADO]] / tb_Auditoria[[#This Row],[VALOR CRÉDITO]], 0)</f>
        <v>0</v>
      </c>
      <c r="L357" s="19" t="e">
        <f>SUMIFS([1]!Motor_Comissão[Valor Previsto],[1]!Motor_Comissão[Chave], tb_Auditoria[[#This Row],[Nº CONTRATO]]&amp;"-"&amp;tb_Auditoria[[#This Row],[PARCELA ATUAL]])</f>
        <v>#REF!</v>
      </c>
      <c r="M357" s="19" t="e">
        <f>tb_Auditoria[[#This Row],[VALOR PAGO]] - tb_Auditoria[[#This Row],[VALOR ESPERADO]]</f>
        <v>#REF!</v>
      </c>
      <c r="N3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8" spans="1:15">
      <c r="A358" s="9">
        <v>1151514</v>
      </c>
      <c r="B358" s="10">
        <v>6</v>
      </c>
      <c r="C358" s="28">
        <v>4.4799999999999996E-3</v>
      </c>
      <c r="D358" s="12">
        <f>tb_Auditoria[[#This Row],[% TAXA RELATÓRIO]]*tb_Auditoria[[#This Row],[VALOR CRÉDITO]]</f>
        <v>2685.3868607999998</v>
      </c>
      <c r="E358" s="13">
        <v>46072</v>
      </c>
      <c r="F358" s="13" t="s">
        <v>16</v>
      </c>
      <c r="G35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5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8" s="19">
        <f>IFERROR(INDEX([1]!tb_Vendas[Crédito],MATCH(tb_Auditoria[[#This Row],[Nº CONTRATO]],[1]!tb_Vendas[Nº Contrato],0)),0)</f>
        <v>599416.71</v>
      </c>
      <c r="K358" s="21">
        <f>IFERROR(tb_Auditoria[[#This Row],[VALOR ESPERADO]] / tb_Auditoria[[#This Row],[VALOR CRÉDITO]], 0)</f>
        <v>0</v>
      </c>
      <c r="L358" s="19" t="e">
        <f>SUMIFS([1]!Motor_Comissão[Valor Previsto],[1]!Motor_Comissão[Chave], tb_Auditoria[[#This Row],[Nº CONTRATO]]&amp;"-"&amp;tb_Auditoria[[#This Row],[PARCELA ATUAL]])</f>
        <v>#REF!</v>
      </c>
      <c r="M358" s="19" t="e">
        <f>tb_Auditoria[[#This Row],[VALOR PAGO]] - tb_Auditoria[[#This Row],[VALOR ESPERADO]]</f>
        <v>#REF!</v>
      </c>
      <c r="N3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59" spans="1:15">
      <c r="A359" s="9">
        <v>1151515</v>
      </c>
      <c r="B359" s="10">
        <v>6</v>
      </c>
      <c r="C359" s="28">
        <v>4.4799999999999996E-3</v>
      </c>
      <c r="D359" s="12">
        <f>tb_Auditoria[[#This Row],[% TAXA RELATÓRIO]]*tb_Auditoria[[#This Row],[VALOR CRÉDITO]]</f>
        <v>2685.3868607999998</v>
      </c>
      <c r="E359" s="13">
        <v>46072</v>
      </c>
      <c r="F359" s="13" t="s">
        <v>16</v>
      </c>
      <c r="G35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5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5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59" s="19">
        <f>IFERROR(INDEX([1]!tb_Vendas[Crédito],MATCH(tb_Auditoria[[#This Row],[Nº CONTRATO]],[1]!tb_Vendas[Nº Contrato],0)),0)</f>
        <v>599416.71</v>
      </c>
      <c r="K359" s="21">
        <f>IFERROR(tb_Auditoria[[#This Row],[VALOR ESPERADO]] / tb_Auditoria[[#This Row],[VALOR CRÉDITO]], 0)</f>
        <v>0</v>
      </c>
      <c r="L359" s="19" t="e">
        <f>SUMIFS([1]!Motor_Comissão[Valor Previsto],[1]!Motor_Comissão[Chave], tb_Auditoria[[#This Row],[Nº CONTRATO]]&amp;"-"&amp;tb_Auditoria[[#This Row],[PARCELA ATUAL]])</f>
        <v>#REF!</v>
      </c>
      <c r="M359" s="19" t="e">
        <f>tb_Auditoria[[#This Row],[VALOR PAGO]] - tb_Auditoria[[#This Row],[VALOR ESPERADO]]</f>
        <v>#REF!</v>
      </c>
      <c r="N3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0" spans="1:15">
      <c r="A360" s="9">
        <v>1151516</v>
      </c>
      <c r="B360" s="10">
        <v>6</v>
      </c>
      <c r="C360" s="28">
        <v>4.4799999999999996E-3</v>
      </c>
      <c r="D360" s="12">
        <f>tb_Auditoria[[#This Row],[% TAXA RELATÓRIO]]*tb_Auditoria[[#This Row],[VALOR CRÉDITO]]</f>
        <v>2685.3868607999998</v>
      </c>
      <c r="E360" s="13">
        <v>46072</v>
      </c>
      <c r="F360" s="13" t="s">
        <v>16</v>
      </c>
      <c r="G36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6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0" s="19">
        <f>IFERROR(INDEX([1]!tb_Vendas[Crédito],MATCH(tb_Auditoria[[#This Row],[Nº CONTRATO]],[1]!tb_Vendas[Nº Contrato],0)),0)</f>
        <v>599416.71</v>
      </c>
      <c r="K360" s="21">
        <f>IFERROR(tb_Auditoria[[#This Row],[VALOR ESPERADO]] / tb_Auditoria[[#This Row],[VALOR CRÉDITO]], 0)</f>
        <v>0</v>
      </c>
      <c r="L360" s="19" t="e">
        <f>SUMIFS([1]!Motor_Comissão[Valor Previsto],[1]!Motor_Comissão[Chave], tb_Auditoria[[#This Row],[Nº CONTRATO]]&amp;"-"&amp;tb_Auditoria[[#This Row],[PARCELA ATUAL]])</f>
        <v>#REF!</v>
      </c>
      <c r="M360" s="19" t="e">
        <f>tb_Auditoria[[#This Row],[VALOR PAGO]] - tb_Auditoria[[#This Row],[VALOR ESPERADO]]</f>
        <v>#REF!</v>
      </c>
      <c r="N3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1" spans="1:15">
      <c r="A361" s="9">
        <v>1151517</v>
      </c>
      <c r="B361" s="10">
        <v>6</v>
      </c>
      <c r="C361" s="28">
        <v>4.4799999999999996E-3</v>
      </c>
      <c r="D361" s="12">
        <f>tb_Auditoria[[#This Row],[% TAXA RELATÓRIO]]*tb_Auditoria[[#This Row],[VALOR CRÉDITO]]</f>
        <v>2685.3868607999998</v>
      </c>
      <c r="E361" s="13">
        <v>46072</v>
      </c>
      <c r="F361" s="13" t="s">
        <v>16</v>
      </c>
      <c r="G36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6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1" s="19">
        <f>IFERROR(INDEX([1]!tb_Vendas[Crédito],MATCH(tb_Auditoria[[#This Row],[Nº CONTRATO]],[1]!tb_Vendas[Nº Contrato],0)),0)</f>
        <v>599416.71</v>
      </c>
      <c r="K361" s="21">
        <f>IFERROR(tb_Auditoria[[#This Row],[VALOR ESPERADO]] / tb_Auditoria[[#This Row],[VALOR CRÉDITO]], 0)</f>
        <v>0</v>
      </c>
      <c r="L361" s="19" t="e">
        <f>SUMIFS([1]!Motor_Comissão[Valor Previsto],[1]!Motor_Comissão[Chave], tb_Auditoria[[#This Row],[Nº CONTRATO]]&amp;"-"&amp;tb_Auditoria[[#This Row],[PARCELA ATUAL]])</f>
        <v>#REF!</v>
      </c>
      <c r="M361" s="19" t="e">
        <f>tb_Auditoria[[#This Row],[VALOR PAGO]] - tb_Auditoria[[#This Row],[VALOR ESPERADO]]</f>
        <v>#REF!</v>
      </c>
      <c r="N3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2" spans="1:15">
      <c r="A362" s="9">
        <v>1151518</v>
      </c>
      <c r="B362" s="10">
        <v>6</v>
      </c>
      <c r="C362" s="28">
        <v>4.4799999999999996E-3</v>
      </c>
      <c r="D362" s="12">
        <f>tb_Auditoria[[#This Row],[% TAXA RELATÓRIO]]*tb_Auditoria[[#This Row],[VALOR CRÉDITO]]</f>
        <v>2685.3868607999998</v>
      </c>
      <c r="E362" s="13">
        <v>46072</v>
      </c>
      <c r="F362" s="13" t="s">
        <v>16</v>
      </c>
      <c r="G36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6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2" s="19">
        <f>IFERROR(INDEX([1]!tb_Vendas[Crédito],MATCH(tb_Auditoria[[#This Row],[Nº CONTRATO]],[1]!tb_Vendas[Nº Contrato],0)),0)</f>
        <v>599416.71</v>
      </c>
      <c r="K362" s="21">
        <f>IFERROR(tb_Auditoria[[#This Row],[VALOR ESPERADO]] / tb_Auditoria[[#This Row],[VALOR CRÉDITO]], 0)</f>
        <v>0</v>
      </c>
      <c r="L362" s="19" t="e">
        <f>SUMIFS([1]!Motor_Comissão[Valor Previsto],[1]!Motor_Comissão[Chave], tb_Auditoria[[#This Row],[Nº CONTRATO]]&amp;"-"&amp;tb_Auditoria[[#This Row],[PARCELA ATUAL]])</f>
        <v>#REF!</v>
      </c>
      <c r="M362" s="19" t="e">
        <f>tb_Auditoria[[#This Row],[VALOR PAGO]] - tb_Auditoria[[#This Row],[VALOR ESPERADO]]</f>
        <v>#REF!</v>
      </c>
      <c r="N3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3" spans="1:15">
      <c r="A363" s="9">
        <v>1151519</v>
      </c>
      <c r="B363" s="10">
        <v>6</v>
      </c>
      <c r="C363" s="28">
        <v>4.4799999999999996E-3</v>
      </c>
      <c r="D363" s="12">
        <f>tb_Auditoria[[#This Row],[% TAXA RELATÓRIO]]*tb_Auditoria[[#This Row],[VALOR CRÉDITO]]</f>
        <v>2685.3868607999998</v>
      </c>
      <c r="E363" s="13">
        <v>46072</v>
      </c>
      <c r="F363" s="13" t="s">
        <v>16</v>
      </c>
      <c r="G36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6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3" s="19">
        <f>IFERROR(INDEX([1]!tb_Vendas[Crédito],MATCH(tb_Auditoria[[#This Row],[Nº CONTRATO]],[1]!tb_Vendas[Nº Contrato],0)),0)</f>
        <v>599416.71</v>
      </c>
      <c r="K363" s="21">
        <f>IFERROR(tb_Auditoria[[#This Row],[VALOR ESPERADO]] / tb_Auditoria[[#This Row],[VALOR CRÉDITO]], 0)</f>
        <v>0</v>
      </c>
      <c r="L363" s="19" t="e">
        <f>SUMIFS([1]!Motor_Comissão[Valor Previsto],[1]!Motor_Comissão[Chave], tb_Auditoria[[#This Row],[Nº CONTRATO]]&amp;"-"&amp;tb_Auditoria[[#This Row],[PARCELA ATUAL]])</f>
        <v>#REF!</v>
      </c>
      <c r="M363" s="19" t="e">
        <f>tb_Auditoria[[#This Row],[VALOR PAGO]] - tb_Auditoria[[#This Row],[VALOR ESPERADO]]</f>
        <v>#REF!</v>
      </c>
      <c r="N3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4" spans="1:15">
      <c r="A364" s="9">
        <v>1151520</v>
      </c>
      <c r="B364" s="10">
        <v>6</v>
      </c>
      <c r="C364" s="28">
        <v>4.4799999999999996E-3</v>
      </c>
      <c r="D364" s="12">
        <f>tb_Auditoria[[#This Row],[% TAXA RELATÓRIO]]*tb_Auditoria[[#This Row],[VALOR CRÉDITO]]</f>
        <v>2685.3868607999998</v>
      </c>
      <c r="E364" s="13">
        <v>46072</v>
      </c>
      <c r="F364" s="13" t="s">
        <v>16</v>
      </c>
      <c r="G36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6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4" s="19">
        <f>IFERROR(INDEX([1]!tb_Vendas[Crédito],MATCH(tb_Auditoria[[#This Row],[Nº CONTRATO]],[1]!tb_Vendas[Nº Contrato],0)),0)</f>
        <v>599416.71</v>
      </c>
      <c r="K364" s="21">
        <f>IFERROR(tb_Auditoria[[#This Row],[VALOR ESPERADO]] / tb_Auditoria[[#This Row],[VALOR CRÉDITO]], 0)</f>
        <v>0</v>
      </c>
      <c r="L364" s="19" t="e">
        <f>SUMIFS([1]!Motor_Comissão[Valor Previsto],[1]!Motor_Comissão[Chave], tb_Auditoria[[#This Row],[Nº CONTRATO]]&amp;"-"&amp;tb_Auditoria[[#This Row],[PARCELA ATUAL]])</f>
        <v>#REF!</v>
      </c>
      <c r="M364" s="19" t="e">
        <f>tb_Auditoria[[#This Row],[VALOR PAGO]] - tb_Auditoria[[#This Row],[VALOR ESPERADO]]</f>
        <v>#REF!</v>
      </c>
      <c r="N3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5" spans="1:15">
      <c r="A365" s="9">
        <v>1151521</v>
      </c>
      <c r="B365" s="10">
        <v>6</v>
      </c>
      <c r="C365" s="28">
        <v>4.4799999999999996E-3</v>
      </c>
      <c r="D365" s="12">
        <f>tb_Auditoria[[#This Row],[% TAXA RELATÓRIO]]*tb_Auditoria[[#This Row],[VALOR CRÉDITO]]</f>
        <v>2685.3868607999998</v>
      </c>
      <c r="E365" s="13">
        <v>46072</v>
      </c>
      <c r="F365" s="13" t="s">
        <v>16</v>
      </c>
      <c r="G36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6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5" s="19">
        <f>IFERROR(INDEX([1]!tb_Vendas[Crédito],MATCH(tb_Auditoria[[#This Row],[Nº CONTRATO]],[1]!tb_Vendas[Nº Contrato],0)),0)</f>
        <v>599416.71</v>
      </c>
      <c r="K365" s="21">
        <f>IFERROR(tb_Auditoria[[#This Row],[VALOR ESPERADO]] / tb_Auditoria[[#This Row],[VALOR CRÉDITO]], 0)</f>
        <v>0</v>
      </c>
      <c r="L365" s="19" t="e">
        <f>SUMIFS([1]!Motor_Comissão[Valor Previsto],[1]!Motor_Comissão[Chave], tb_Auditoria[[#This Row],[Nº CONTRATO]]&amp;"-"&amp;tb_Auditoria[[#This Row],[PARCELA ATUAL]])</f>
        <v>#REF!</v>
      </c>
      <c r="M365" s="19" t="e">
        <f>tb_Auditoria[[#This Row],[VALOR PAGO]] - tb_Auditoria[[#This Row],[VALOR ESPERADO]]</f>
        <v>#REF!</v>
      </c>
      <c r="N3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6" spans="1:15">
      <c r="A366" s="9">
        <v>1151522</v>
      </c>
      <c r="B366" s="10">
        <v>6</v>
      </c>
      <c r="C366" s="28">
        <v>4.4799999999999996E-3</v>
      </c>
      <c r="D366" s="12">
        <f>tb_Auditoria[[#This Row],[% TAXA RELATÓRIO]]*tb_Auditoria[[#This Row],[VALOR CRÉDITO]]</f>
        <v>2685.3868607999998</v>
      </c>
      <c r="E366" s="13">
        <v>46072</v>
      </c>
      <c r="F366" s="13" t="s">
        <v>16</v>
      </c>
      <c r="G36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6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6" s="19">
        <f>IFERROR(INDEX([1]!tb_Vendas[Crédito],MATCH(tb_Auditoria[[#This Row],[Nº CONTRATO]],[1]!tb_Vendas[Nº Contrato],0)),0)</f>
        <v>599416.71</v>
      </c>
      <c r="K366" s="21">
        <f>IFERROR(tb_Auditoria[[#This Row],[VALOR ESPERADO]] / tb_Auditoria[[#This Row],[VALOR CRÉDITO]], 0)</f>
        <v>0</v>
      </c>
      <c r="L366" s="19" t="e">
        <f>SUMIFS([1]!Motor_Comissão[Valor Previsto],[1]!Motor_Comissão[Chave], tb_Auditoria[[#This Row],[Nº CONTRATO]]&amp;"-"&amp;tb_Auditoria[[#This Row],[PARCELA ATUAL]])</f>
        <v>#REF!</v>
      </c>
      <c r="M366" s="19" t="e">
        <f>tb_Auditoria[[#This Row],[VALOR PAGO]] - tb_Auditoria[[#This Row],[VALOR ESPERADO]]</f>
        <v>#REF!</v>
      </c>
      <c r="N3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7" spans="1:15">
      <c r="A367" s="9">
        <v>1151523</v>
      </c>
      <c r="B367" s="10">
        <v>6</v>
      </c>
      <c r="C367" s="28">
        <v>4.9919999999999999E-3</v>
      </c>
      <c r="D367" s="12">
        <f>tb_Auditoria[[#This Row],[% TAXA RELATÓRIO]]*tb_Auditoria[[#This Row],[VALOR CRÉDITO]]</f>
        <v>2229.8415859199999</v>
      </c>
      <c r="E367" s="13">
        <v>46072</v>
      </c>
      <c r="F367" s="13" t="s">
        <v>16</v>
      </c>
      <c r="G36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6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7" s="19">
        <f>IFERROR(INDEX([1]!tb_Vendas[Crédito],MATCH(tb_Auditoria[[#This Row],[Nº CONTRATO]],[1]!tb_Vendas[Nº Contrato],0)),0)</f>
        <v>446683.01</v>
      </c>
      <c r="K367" s="21">
        <f>IFERROR(tb_Auditoria[[#This Row],[VALOR ESPERADO]] / tb_Auditoria[[#This Row],[VALOR CRÉDITO]], 0)</f>
        <v>0</v>
      </c>
      <c r="L367" s="19" t="e">
        <f>SUMIFS([1]!Motor_Comissão[Valor Previsto],[1]!Motor_Comissão[Chave], tb_Auditoria[[#This Row],[Nº CONTRATO]]&amp;"-"&amp;tb_Auditoria[[#This Row],[PARCELA ATUAL]])</f>
        <v>#REF!</v>
      </c>
      <c r="M367" s="19" t="e">
        <f>tb_Auditoria[[#This Row],[VALOR PAGO]] - tb_Auditoria[[#This Row],[VALOR ESPERADO]]</f>
        <v>#REF!</v>
      </c>
      <c r="N3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8" spans="1:15">
      <c r="A368" s="9">
        <v>1151525</v>
      </c>
      <c r="B368" s="10">
        <v>6</v>
      </c>
      <c r="C368" s="28">
        <v>4.9919999999999999E-3</v>
      </c>
      <c r="D368" s="12">
        <f>tb_Auditoria[[#This Row],[% TAXA RELATÓRIO]]*tb_Auditoria[[#This Row],[VALOR CRÉDITO]]</f>
        <v>2229.8415859199999</v>
      </c>
      <c r="E368" s="13">
        <v>46072</v>
      </c>
      <c r="F368" s="13" t="s">
        <v>16</v>
      </c>
      <c r="G36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6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8" s="19">
        <f>IFERROR(INDEX([1]!tb_Vendas[Crédito],MATCH(tb_Auditoria[[#This Row],[Nº CONTRATO]],[1]!tb_Vendas[Nº Contrato],0)),0)</f>
        <v>446683.01</v>
      </c>
      <c r="K368" s="21">
        <f>IFERROR(tb_Auditoria[[#This Row],[VALOR ESPERADO]] / tb_Auditoria[[#This Row],[VALOR CRÉDITO]], 0)</f>
        <v>0</v>
      </c>
      <c r="L368" s="19" t="e">
        <f>SUMIFS([1]!Motor_Comissão[Valor Previsto],[1]!Motor_Comissão[Chave], tb_Auditoria[[#This Row],[Nº CONTRATO]]&amp;"-"&amp;tb_Auditoria[[#This Row],[PARCELA ATUAL]])</f>
        <v>#REF!</v>
      </c>
      <c r="M368" s="19" t="e">
        <f>tb_Auditoria[[#This Row],[VALOR PAGO]] - tb_Auditoria[[#This Row],[VALOR ESPERADO]]</f>
        <v>#REF!</v>
      </c>
      <c r="N36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69" spans="1:15">
      <c r="A369" s="9">
        <v>1151526</v>
      </c>
      <c r="B369" s="10">
        <v>6</v>
      </c>
      <c r="C369" s="28">
        <v>5.1200000000000004E-3</v>
      </c>
      <c r="D369" s="12">
        <f>tb_Auditoria[[#This Row],[% TAXA RELATÓRIO]]*tb_Auditoria[[#This Row],[VALOR CRÉDITO]]</f>
        <v>2048</v>
      </c>
      <c r="E369" s="13">
        <v>46072</v>
      </c>
      <c r="F369" s="13" t="s">
        <v>16</v>
      </c>
      <c r="G36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6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6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69" s="19">
        <f>IFERROR(INDEX([1]!tb_Vendas[Crédito],MATCH(tb_Auditoria[[#This Row],[Nº CONTRATO]],[1]!tb_Vendas[Nº Contrato],0)),0)</f>
        <v>400000</v>
      </c>
      <c r="K369" s="21">
        <f>IFERROR(tb_Auditoria[[#This Row],[VALOR ESPERADO]] / tb_Auditoria[[#This Row],[VALOR CRÉDITO]], 0)</f>
        <v>0</v>
      </c>
      <c r="L369" s="19" t="e">
        <f>SUMIFS([1]!Motor_Comissão[Valor Previsto],[1]!Motor_Comissão[Chave], tb_Auditoria[[#This Row],[Nº CONTRATO]]&amp;"-"&amp;tb_Auditoria[[#This Row],[PARCELA ATUAL]])</f>
        <v>#REF!</v>
      </c>
      <c r="M369" s="19" t="e">
        <f>tb_Auditoria[[#This Row],[VALOR PAGO]] - tb_Auditoria[[#This Row],[VALOR ESPERADO]]</f>
        <v>#REF!</v>
      </c>
      <c r="N3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0" spans="1:15">
      <c r="A370" s="9">
        <v>1151527</v>
      </c>
      <c r="B370" s="10">
        <v>6</v>
      </c>
      <c r="C370" s="28">
        <v>5.1200000000000004E-3</v>
      </c>
      <c r="D370" s="12">
        <f>tb_Auditoria[[#This Row],[% TAXA RELATÓRIO]]*tb_Auditoria[[#This Row],[VALOR CRÉDITO]]</f>
        <v>2048</v>
      </c>
      <c r="E370" s="13">
        <v>46072</v>
      </c>
      <c r="F370" s="13" t="s">
        <v>16</v>
      </c>
      <c r="G37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7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0" s="19">
        <f>IFERROR(INDEX([1]!tb_Vendas[Crédito],MATCH(tb_Auditoria[[#This Row],[Nº CONTRATO]],[1]!tb_Vendas[Nº Contrato],0)),0)</f>
        <v>400000</v>
      </c>
      <c r="K370" s="21">
        <f>IFERROR(tb_Auditoria[[#This Row],[VALOR ESPERADO]] / tb_Auditoria[[#This Row],[VALOR CRÉDITO]], 0)</f>
        <v>0</v>
      </c>
      <c r="L370" s="19" t="e">
        <f>SUMIFS([1]!Motor_Comissão[Valor Previsto],[1]!Motor_Comissão[Chave], tb_Auditoria[[#This Row],[Nº CONTRATO]]&amp;"-"&amp;tb_Auditoria[[#This Row],[PARCELA ATUAL]])</f>
        <v>#REF!</v>
      </c>
      <c r="M370" s="19" t="e">
        <f>tb_Auditoria[[#This Row],[VALOR PAGO]] - tb_Auditoria[[#This Row],[VALOR ESPERADO]]</f>
        <v>#REF!</v>
      </c>
      <c r="N3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1" spans="1:15">
      <c r="A371" s="9">
        <v>1151528</v>
      </c>
      <c r="B371" s="10">
        <v>6</v>
      </c>
      <c r="C371" s="28">
        <v>5.1200000000000004E-3</v>
      </c>
      <c r="D371" s="12">
        <f>tb_Auditoria[[#This Row],[% TAXA RELATÓRIO]]*tb_Auditoria[[#This Row],[VALOR CRÉDITO]]</f>
        <v>2048</v>
      </c>
      <c r="E371" s="13">
        <v>46072</v>
      </c>
      <c r="F371" s="13" t="s">
        <v>16</v>
      </c>
      <c r="G37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7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1" s="19">
        <f>IFERROR(INDEX([1]!tb_Vendas[Crédito],MATCH(tb_Auditoria[[#This Row],[Nº CONTRATO]],[1]!tb_Vendas[Nº Contrato],0)),0)</f>
        <v>400000</v>
      </c>
      <c r="K371" s="21">
        <f>IFERROR(tb_Auditoria[[#This Row],[VALOR ESPERADO]] / tb_Auditoria[[#This Row],[VALOR CRÉDITO]], 0)</f>
        <v>0</v>
      </c>
      <c r="L371" s="19" t="e">
        <f>SUMIFS([1]!Motor_Comissão[Valor Previsto],[1]!Motor_Comissão[Chave], tb_Auditoria[[#This Row],[Nº CONTRATO]]&amp;"-"&amp;tb_Auditoria[[#This Row],[PARCELA ATUAL]])</f>
        <v>#REF!</v>
      </c>
      <c r="M371" s="19" t="e">
        <f>tb_Auditoria[[#This Row],[VALOR PAGO]] - tb_Auditoria[[#This Row],[VALOR ESPERADO]]</f>
        <v>#REF!</v>
      </c>
      <c r="N3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2" spans="1:15">
      <c r="A372" s="9">
        <v>1151529</v>
      </c>
      <c r="B372" s="10">
        <v>6</v>
      </c>
      <c r="C372" s="28">
        <v>5.1200000000000004E-3</v>
      </c>
      <c r="D372" s="12">
        <f>tb_Auditoria[[#This Row],[% TAXA RELATÓRIO]]*tb_Auditoria[[#This Row],[VALOR CRÉDITO]]</f>
        <v>2048</v>
      </c>
      <c r="E372" s="13">
        <v>46072</v>
      </c>
      <c r="F372" s="13" t="s">
        <v>16</v>
      </c>
      <c r="G37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7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2" s="19">
        <f>IFERROR(INDEX([1]!tb_Vendas[Crédito],MATCH(tb_Auditoria[[#This Row],[Nº CONTRATO]],[1]!tb_Vendas[Nº Contrato],0)),0)</f>
        <v>400000</v>
      </c>
      <c r="K372" s="21">
        <f>IFERROR(tb_Auditoria[[#This Row],[VALOR ESPERADO]] / tb_Auditoria[[#This Row],[VALOR CRÉDITO]], 0)</f>
        <v>0</v>
      </c>
      <c r="L372" s="19" t="e">
        <f>SUMIFS([1]!Motor_Comissão[Valor Previsto],[1]!Motor_Comissão[Chave], tb_Auditoria[[#This Row],[Nº CONTRATO]]&amp;"-"&amp;tb_Auditoria[[#This Row],[PARCELA ATUAL]])</f>
        <v>#REF!</v>
      </c>
      <c r="M372" s="19" t="e">
        <f>tb_Auditoria[[#This Row],[VALOR PAGO]] - tb_Auditoria[[#This Row],[VALOR ESPERADO]]</f>
        <v>#REF!</v>
      </c>
      <c r="N3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3" spans="1:15">
      <c r="A373" s="9">
        <v>1151530</v>
      </c>
      <c r="B373" s="10">
        <v>6</v>
      </c>
      <c r="C373" s="28">
        <v>5.1200000000000004E-3</v>
      </c>
      <c r="D373" s="12">
        <f>tb_Auditoria[[#This Row],[% TAXA RELATÓRIO]]*tb_Auditoria[[#This Row],[VALOR CRÉDITO]]</f>
        <v>2048</v>
      </c>
      <c r="E373" s="13">
        <v>46072</v>
      </c>
      <c r="F373" s="13" t="s">
        <v>16</v>
      </c>
      <c r="G37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7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3" s="19">
        <f>IFERROR(INDEX([1]!tb_Vendas[Crédito],MATCH(tb_Auditoria[[#This Row],[Nº CONTRATO]],[1]!tb_Vendas[Nº Contrato],0)),0)</f>
        <v>400000</v>
      </c>
      <c r="K373" s="21">
        <f>IFERROR(tb_Auditoria[[#This Row],[VALOR ESPERADO]] / tb_Auditoria[[#This Row],[VALOR CRÉDITO]], 0)</f>
        <v>0</v>
      </c>
      <c r="L373" s="19" t="e">
        <f>SUMIFS([1]!Motor_Comissão[Valor Previsto],[1]!Motor_Comissão[Chave], tb_Auditoria[[#This Row],[Nº CONTRATO]]&amp;"-"&amp;tb_Auditoria[[#This Row],[PARCELA ATUAL]])</f>
        <v>#REF!</v>
      </c>
      <c r="M373" s="19" t="e">
        <f>tb_Auditoria[[#This Row],[VALOR PAGO]] - tb_Auditoria[[#This Row],[VALOR ESPERADO]]</f>
        <v>#REF!</v>
      </c>
      <c r="N3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4" spans="1:15">
      <c r="A374" s="9">
        <v>1151532</v>
      </c>
      <c r="B374" s="10">
        <v>6</v>
      </c>
      <c r="C374" s="28">
        <v>1.72E-3</v>
      </c>
      <c r="D374" s="12">
        <f>tb_Auditoria[[#This Row],[% TAXA RELATÓRIO]]*tb_Auditoria[[#This Row],[VALOR CRÉDITO]]</f>
        <v>731</v>
      </c>
      <c r="E374" s="13">
        <v>46072</v>
      </c>
      <c r="F374" s="13" t="s">
        <v>16</v>
      </c>
      <c r="G37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7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4" s="19">
        <f>IFERROR(INDEX([1]!tb_Vendas[Crédito],MATCH(tb_Auditoria[[#This Row],[Nº CONTRATO]],[1]!tb_Vendas[Nº Contrato],0)),0)</f>
        <v>425000</v>
      </c>
      <c r="K374" s="21">
        <f>IFERROR(tb_Auditoria[[#This Row],[VALOR ESPERADO]] / tb_Auditoria[[#This Row],[VALOR CRÉDITO]], 0)</f>
        <v>0</v>
      </c>
      <c r="L374" s="19" t="e">
        <f>SUMIFS([1]!Motor_Comissão[Valor Previsto],[1]!Motor_Comissão[Chave], tb_Auditoria[[#This Row],[Nº CONTRATO]]&amp;"-"&amp;tb_Auditoria[[#This Row],[PARCELA ATUAL]])</f>
        <v>#REF!</v>
      </c>
      <c r="M374" s="19" t="e">
        <f>tb_Auditoria[[#This Row],[VALOR PAGO]] - tb_Auditoria[[#This Row],[VALOR ESPERADO]]</f>
        <v>#REF!</v>
      </c>
      <c r="N3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5" spans="1:15">
      <c r="A375" s="9">
        <v>1151535</v>
      </c>
      <c r="B375" s="10">
        <v>6</v>
      </c>
      <c r="C375" s="28">
        <v>1.5479999999999999E-3</v>
      </c>
      <c r="D375" s="12">
        <f>tb_Auditoria[[#This Row],[% TAXA RELATÓRIO]]*tb_Auditoria[[#This Row],[VALOR CRÉDITO]]</f>
        <v>619.19999999999993</v>
      </c>
      <c r="E375" s="13">
        <v>46072</v>
      </c>
      <c r="F375" s="13" t="s">
        <v>16</v>
      </c>
      <c r="G37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7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5" s="19">
        <f>IFERROR(INDEX([1]!tb_Vendas[Crédito],MATCH(tb_Auditoria[[#This Row],[Nº CONTRATO]],[1]!tb_Vendas[Nº Contrato],0)),0)</f>
        <v>400000</v>
      </c>
      <c r="K375" s="21">
        <f>IFERROR(tb_Auditoria[[#This Row],[VALOR ESPERADO]] / tb_Auditoria[[#This Row],[VALOR CRÉDITO]], 0)</f>
        <v>0</v>
      </c>
      <c r="L375" s="19" t="e">
        <f>SUMIFS([1]!Motor_Comissão[Valor Previsto],[1]!Motor_Comissão[Chave], tb_Auditoria[[#This Row],[Nº CONTRATO]]&amp;"-"&amp;tb_Auditoria[[#This Row],[PARCELA ATUAL]])</f>
        <v>#REF!</v>
      </c>
      <c r="M375" s="19" t="e">
        <f>tb_Auditoria[[#This Row],[VALOR PAGO]] - tb_Auditoria[[#This Row],[VALOR ESPERADO]]</f>
        <v>#REF!</v>
      </c>
      <c r="N3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6" spans="1:15">
      <c r="A376" s="9">
        <v>1151536</v>
      </c>
      <c r="B376" s="10">
        <v>6</v>
      </c>
      <c r="C376" s="28">
        <v>1.5479999999999999E-3</v>
      </c>
      <c r="D376" s="12">
        <f>tb_Auditoria[[#This Row],[% TAXA RELATÓRIO]]*tb_Auditoria[[#This Row],[VALOR CRÉDITO]]</f>
        <v>619.19999999999993</v>
      </c>
      <c r="E376" s="13">
        <v>46072</v>
      </c>
      <c r="F376" s="13" t="s">
        <v>16</v>
      </c>
      <c r="G37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7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6" s="19">
        <f>IFERROR(INDEX([1]!tb_Vendas[Crédito],MATCH(tb_Auditoria[[#This Row],[Nº CONTRATO]],[1]!tb_Vendas[Nº Contrato],0)),0)</f>
        <v>400000</v>
      </c>
      <c r="K376" s="21">
        <f>IFERROR(tb_Auditoria[[#This Row],[VALOR ESPERADO]] / tb_Auditoria[[#This Row],[VALOR CRÉDITO]], 0)</f>
        <v>0</v>
      </c>
      <c r="L376" s="19" t="e">
        <f>SUMIFS([1]!Motor_Comissão[Valor Previsto],[1]!Motor_Comissão[Chave], tb_Auditoria[[#This Row],[Nº CONTRATO]]&amp;"-"&amp;tb_Auditoria[[#This Row],[PARCELA ATUAL]])</f>
        <v>#REF!</v>
      </c>
      <c r="M376" s="19" t="e">
        <f>tb_Auditoria[[#This Row],[VALOR PAGO]] - tb_Auditoria[[#This Row],[VALOR ESPERADO]]</f>
        <v>#REF!</v>
      </c>
      <c r="N3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7" spans="1:15">
      <c r="A377" s="9">
        <v>1151537</v>
      </c>
      <c r="B377" s="10">
        <v>6</v>
      </c>
      <c r="C377" s="28">
        <v>4.8640000000000003E-3</v>
      </c>
      <c r="D377" s="12">
        <f>tb_Auditoria[[#This Row],[% TAXA RELATÓRIO]]*tb_Auditoria[[#This Row],[VALOR CRÉDITO]]</f>
        <v>1459.2</v>
      </c>
      <c r="E377" s="13">
        <v>46072</v>
      </c>
      <c r="F377" s="13" t="s">
        <v>16</v>
      </c>
      <c r="G37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7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7" s="19">
        <f>IFERROR(INDEX([1]!tb_Vendas[Crédito],MATCH(tb_Auditoria[[#This Row],[Nº CONTRATO]],[1]!tb_Vendas[Nº Contrato],0)),0)</f>
        <v>300000</v>
      </c>
      <c r="K377" s="21">
        <f>IFERROR(tb_Auditoria[[#This Row],[VALOR ESPERADO]] / tb_Auditoria[[#This Row],[VALOR CRÉDITO]], 0)</f>
        <v>0</v>
      </c>
      <c r="L377" s="19" t="e">
        <f>SUMIFS([1]!Motor_Comissão[Valor Previsto],[1]!Motor_Comissão[Chave], tb_Auditoria[[#This Row],[Nº CONTRATO]]&amp;"-"&amp;tb_Auditoria[[#This Row],[PARCELA ATUAL]])</f>
        <v>#REF!</v>
      </c>
      <c r="M377" s="19" t="e">
        <f>tb_Auditoria[[#This Row],[VALOR PAGO]] - tb_Auditoria[[#This Row],[VALOR ESPERADO]]</f>
        <v>#REF!</v>
      </c>
      <c r="N3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8" spans="1:15">
      <c r="A378" s="9">
        <v>1151539</v>
      </c>
      <c r="B378" s="10">
        <v>6</v>
      </c>
      <c r="C378" s="28">
        <v>4.8640000000000003E-3</v>
      </c>
      <c r="D378" s="12">
        <f>tb_Auditoria[[#This Row],[% TAXA RELATÓRIO]]*tb_Auditoria[[#This Row],[VALOR CRÉDITO]]</f>
        <v>1556.48</v>
      </c>
      <c r="E378" s="13">
        <v>46072</v>
      </c>
      <c r="F378" s="13" t="s">
        <v>16</v>
      </c>
      <c r="G37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7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8" s="19">
        <f>IFERROR(INDEX([1]!tb_Vendas[Crédito],MATCH(tb_Auditoria[[#This Row],[Nº CONTRATO]],[1]!tb_Vendas[Nº Contrato],0)),0)</f>
        <v>320000</v>
      </c>
      <c r="K378" s="21">
        <f>IFERROR(tb_Auditoria[[#This Row],[VALOR ESPERADO]] / tb_Auditoria[[#This Row],[VALOR CRÉDITO]], 0)</f>
        <v>0</v>
      </c>
      <c r="L378" s="19" t="e">
        <f>SUMIFS([1]!Motor_Comissão[Valor Previsto],[1]!Motor_Comissão[Chave], tb_Auditoria[[#This Row],[Nº CONTRATO]]&amp;"-"&amp;tb_Auditoria[[#This Row],[PARCELA ATUAL]])</f>
        <v>#REF!</v>
      </c>
      <c r="M378" s="19" t="e">
        <f>tb_Auditoria[[#This Row],[VALOR PAGO]] - tb_Auditoria[[#This Row],[VALOR ESPERADO]]</f>
        <v>#REF!</v>
      </c>
      <c r="N3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79" spans="1:15">
      <c r="A379" s="9">
        <v>1151501</v>
      </c>
      <c r="B379" s="10">
        <v>7</v>
      </c>
      <c r="C379" s="28">
        <v>2.1459999999999999E-3</v>
      </c>
      <c r="D379" s="12">
        <f>tb_Auditoria[[#This Row],[% TAXA RELATÓRIO]]*tb_Auditoria[[#This Row],[VALOR CRÉDITO]]</f>
        <v>612.6643297999999</v>
      </c>
      <c r="E379" s="13">
        <v>46100</v>
      </c>
      <c r="F379" s="13" t="s">
        <v>16</v>
      </c>
      <c r="G37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7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7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79" s="19">
        <f>IFERROR(INDEX([1]!tb_Vendas[Crédito],MATCH(tb_Auditoria[[#This Row],[Nº CONTRATO]],[1]!tb_Vendas[Nº Contrato],0)),0)</f>
        <v>285491.3</v>
      </c>
      <c r="K379" s="21">
        <f>IFERROR(tb_Auditoria[[#This Row],[VALOR ESPERADO]] / tb_Auditoria[[#This Row],[VALOR CRÉDITO]], 0)</f>
        <v>0</v>
      </c>
      <c r="L379" s="19" t="e">
        <f>SUMIFS([1]!Motor_Comissão[Valor Previsto],[1]!Motor_Comissão[Chave], tb_Auditoria[[#This Row],[Nº CONTRATO]]&amp;"-"&amp;tb_Auditoria[[#This Row],[PARCELA ATUAL]])</f>
        <v>#REF!</v>
      </c>
      <c r="M379" s="19" t="e">
        <f>tb_Auditoria[[#This Row],[VALOR PAGO]] - tb_Auditoria[[#This Row],[VALOR ESPERADO]]</f>
        <v>#REF!</v>
      </c>
      <c r="N3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0" spans="1:15">
      <c r="A380" s="9">
        <v>1151503</v>
      </c>
      <c r="B380" s="10">
        <v>7</v>
      </c>
      <c r="C380" s="28">
        <v>2.1459999999999999E-3</v>
      </c>
      <c r="D380" s="12">
        <f>tb_Auditoria[[#This Row],[% TAXA RELATÓRIO]]*tb_Auditoria[[#This Row],[VALOR CRÉDITO]]</f>
        <v>612.6643297999999</v>
      </c>
      <c r="E380" s="13">
        <v>46100</v>
      </c>
      <c r="F380" s="13" t="s">
        <v>16</v>
      </c>
      <c r="G38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8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0" s="19">
        <f>IFERROR(INDEX([1]!tb_Vendas[Crédito],MATCH(tb_Auditoria[[#This Row],[Nº CONTRATO]],[1]!tb_Vendas[Nº Contrato],0)),0)</f>
        <v>285491.3</v>
      </c>
      <c r="K380" s="21">
        <f>IFERROR(tb_Auditoria[[#This Row],[VALOR ESPERADO]] / tb_Auditoria[[#This Row],[VALOR CRÉDITO]], 0)</f>
        <v>0</v>
      </c>
      <c r="L380" s="19" t="e">
        <f>SUMIFS([1]!Motor_Comissão[Valor Previsto],[1]!Motor_Comissão[Chave], tb_Auditoria[[#This Row],[Nº CONTRATO]]&amp;"-"&amp;tb_Auditoria[[#This Row],[PARCELA ATUAL]])</f>
        <v>#REF!</v>
      </c>
      <c r="M380" s="19" t="e">
        <f>tb_Auditoria[[#This Row],[VALOR PAGO]] - tb_Auditoria[[#This Row],[VALOR ESPERADO]]</f>
        <v>#REF!</v>
      </c>
      <c r="N3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1" spans="1:15">
      <c r="A381" s="9">
        <v>1151505</v>
      </c>
      <c r="B381" s="10">
        <v>7</v>
      </c>
      <c r="C381" s="28">
        <v>2.1459999999999999E-3</v>
      </c>
      <c r="D381" s="12">
        <f>tb_Auditoria[[#This Row],[% TAXA RELATÓRIO]]*tb_Auditoria[[#This Row],[VALOR CRÉDITO]]</f>
        <v>612.6643297999999</v>
      </c>
      <c r="E381" s="13">
        <v>46100</v>
      </c>
      <c r="F381" s="13" t="s">
        <v>16</v>
      </c>
      <c r="G38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8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1" s="19">
        <f>IFERROR(INDEX([1]!tb_Vendas[Crédito],MATCH(tb_Auditoria[[#This Row],[Nº CONTRATO]],[1]!tb_Vendas[Nº Contrato],0)),0)</f>
        <v>285491.3</v>
      </c>
      <c r="K381" s="21">
        <f>IFERROR(tb_Auditoria[[#This Row],[VALOR ESPERADO]] / tb_Auditoria[[#This Row],[VALOR CRÉDITO]], 0)</f>
        <v>0</v>
      </c>
      <c r="L381" s="19" t="e">
        <f>SUMIFS([1]!Motor_Comissão[Valor Previsto],[1]!Motor_Comissão[Chave], tb_Auditoria[[#This Row],[Nº CONTRATO]]&amp;"-"&amp;tb_Auditoria[[#This Row],[PARCELA ATUAL]])</f>
        <v>#REF!</v>
      </c>
      <c r="M381" s="19" t="e">
        <f>tb_Auditoria[[#This Row],[VALOR PAGO]] - tb_Auditoria[[#This Row],[VALOR ESPERADO]]</f>
        <v>#REF!</v>
      </c>
      <c r="N3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2" spans="1:15">
      <c r="A382" s="9">
        <v>1151506</v>
      </c>
      <c r="B382" s="10">
        <v>7</v>
      </c>
      <c r="C382" s="28">
        <v>2.0300000000000001E-3</v>
      </c>
      <c r="D382" s="12">
        <f>tb_Auditoria[[#This Row],[% TAXA RELATÓRIO]]*tb_Auditoria[[#This Row],[VALOR CRÉDITO]]</f>
        <v>620.89831720000006</v>
      </c>
      <c r="E382" s="13">
        <v>46100</v>
      </c>
      <c r="F382" s="13" t="s">
        <v>16</v>
      </c>
      <c r="G38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8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2" s="19">
        <f>IFERROR(INDEX([1]!tb_Vendas[Crédito],MATCH(tb_Auditoria[[#This Row],[Nº CONTRATO]],[1]!tb_Vendas[Nº Contrato],0)),0)</f>
        <v>305861.24</v>
      </c>
      <c r="K382" s="21">
        <f>IFERROR(tb_Auditoria[[#This Row],[VALOR ESPERADO]] / tb_Auditoria[[#This Row],[VALOR CRÉDITO]], 0)</f>
        <v>0</v>
      </c>
      <c r="L382" s="19" t="e">
        <f>SUMIFS([1]!Motor_Comissão[Valor Previsto],[1]!Motor_Comissão[Chave], tb_Auditoria[[#This Row],[Nº CONTRATO]]&amp;"-"&amp;tb_Auditoria[[#This Row],[PARCELA ATUAL]])</f>
        <v>#REF!</v>
      </c>
      <c r="M382" s="19" t="e">
        <f>tb_Auditoria[[#This Row],[VALOR PAGO]] - tb_Auditoria[[#This Row],[VALOR ESPERADO]]</f>
        <v>#REF!</v>
      </c>
      <c r="N3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3" spans="1:15">
      <c r="A383" s="9">
        <v>1151507</v>
      </c>
      <c r="B383" s="10">
        <v>7</v>
      </c>
      <c r="C383" s="28">
        <v>2.0300000000000001E-3</v>
      </c>
      <c r="D383" s="12">
        <f>tb_Auditoria[[#This Row],[% TAXA RELATÓRIO]]*tb_Auditoria[[#This Row],[VALOR CRÉDITO]]</f>
        <v>620.89831720000006</v>
      </c>
      <c r="E383" s="13">
        <v>46100</v>
      </c>
      <c r="F383" s="13" t="s">
        <v>16</v>
      </c>
      <c r="G38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8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3" s="19">
        <f>IFERROR(INDEX([1]!tb_Vendas[Crédito],MATCH(tb_Auditoria[[#This Row],[Nº CONTRATO]],[1]!tb_Vendas[Nº Contrato],0)),0)</f>
        <v>305861.24</v>
      </c>
      <c r="K383" s="21">
        <f>IFERROR(tb_Auditoria[[#This Row],[VALOR ESPERADO]] / tb_Auditoria[[#This Row],[VALOR CRÉDITO]], 0)</f>
        <v>0</v>
      </c>
      <c r="L383" s="19" t="e">
        <f>SUMIFS([1]!Motor_Comissão[Valor Previsto],[1]!Motor_Comissão[Chave], tb_Auditoria[[#This Row],[Nº CONTRATO]]&amp;"-"&amp;tb_Auditoria[[#This Row],[PARCELA ATUAL]])</f>
        <v>#REF!</v>
      </c>
      <c r="M383" s="19" t="e">
        <f>tb_Auditoria[[#This Row],[VALOR PAGO]] - tb_Auditoria[[#This Row],[VALOR ESPERADO]]</f>
        <v>#REF!</v>
      </c>
      <c r="N3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4" spans="1:15">
      <c r="A384" s="9">
        <v>1151509</v>
      </c>
      <c r="B384" s="10">
        <v>7</v>
      </c>
      <c r="C384" s="28">
        <v>2.0300000000000001E-3</v>
      </c>
      <c r="D384" s="12">
        <f>tb_Auditoria[[#This Row],[% TAXA RELATÓRIO]]*tb_Auditoria[[#This Row],[VALOR CRÉDITO]]</f>
        <v>620.89831720000006</v>
      </c>
      <c r="E384" s="13">
        <v>46100</v>
      </c>
      <c r="F384" s="13" t="s">
        <v>16</v>
      </c>
      <c r="G38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8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4" s="19">
        <f>IFERROR(INDEX([1]!tb_Vendas[Crédito],MATCH(tb_Auditoria[[#This Row],[Nº CONTRATO]],[1]!tb_Vendas[Nº Contrato],0)),0)</f>
        <v>305861.24</v>
      </c>
      <c r="K384" s="21">
        <f>IFERROR(tb_Auditoria[[#This Row],[VALOR ESPERADO]] / tb_Auditoria[[#This Row],[VALOR CRÉDITO]], 0)</f>
        <v>0</v>
      </c>
      <c r="L384" s="19" t="e">
        <f>SUMIFS([1]!Motor_Comissão[Valor Previsto],[1]!Motor_Comissão[Chave], tb_Auditoria[[#This Row],[Nº CONTRATO]]&amp;"-"&amp;tb_Auditoria[[#This Row],[PARCELA ATUAL]])</f>
        <v>#REF!</v>
      </c>
      <c r="M384" s="19" t="e">
        <f>tb_Auditoria[[#This Row],[VALOR PAGO]] - tb_Auditoria[[#This Row],[VALOR ESPERADO]]</f>
        <v>#REF!</v>
      </c>
      <c r="N3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5" spans="1:15">
      <c r="A385" s="9">
        <v>1151510</v>
      </c>
      <c r="B385" s="10">
        <v>7</v>
      </c>
      <c r="C385" s="28">
        <v>2.0300000000000001E-3</v>
      </c>
      <c r="D385" s="12">
        <f>tb_Auditoria[[#This Row],[% TAXA RELATÓRIO]]*tb_Auditoria[[#This Row],[VALOR CRÉDITO]]</f>
        <v>620.89831720000006</v>
      </c>
      <c r="E385" s="13">
        <v>46100</v>
      </c>
      <c r="F385" s="13" t="s">
        <v>16</v>
      </c>
      <c r="G38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8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5" s="19">
        <f>IFERROR(INDEX([1]!tb_Vendas[Crédito],MATCH(tb_Auditoria[[#This Row],[Nº CONTRATO]],[1]!tb_Vendas[Nº Contrato],0)),0)</f>
        <v>305861.24</v>
      </c>
      <c r="K385" s="21">
        <f>IFERROR(tb_Auditoria[[#This Row],[VALOR ESPERADO]] / tb_Auditoria[[#This Row],[VALOR CRÉDITO]], 0)</f>
        <v>0</v>
      </c>
      <c r="L385" s="19" t="e">
        <f>SUMIFS([1]!Motor_Comissão[Valor Previsto],[1]!Motor_Comissão[Chave], tb_Auditoria[[#This Row],[Nº CONTRATO]]&amp;"-"&amp;tb_Auditoria[[#This Row],[PARCELA ATUAL]])</f>
        <v>#REF!</v>
      </c>
      <c r="M385" s="19" t="e">
        <f>tb_Auditoria[[#This Row],[VALOR PAGO]] - tb_Auditoria[[#This Row],[VALOR ESPERADO]]</f>
        <v>#REF!</v>
      </c>
      <c r="N3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6" spans="1:15">
      <c r="A386" s="9">
        <v>1151511</v>
      </c>
      <c r="B386" s="10">
        <v>7</v>
      </c>
      <c r="C386" s="28">
        <v>2.0300000000000001E-3</v>
      </c>
      <c r="D386" s="12">
        <f>tb_Auditoria[[#This Row],[% TAXA RELATÓRIO]]*tb_Auditoria[[#This Row],[VALOR CRÉDITO]]</f>
        <v>588.74981619999994</v>
      </c>
      <c r="E386" s="13">
        <v>46100</v>
      </c>
      <c r="F386" s="13" t="s">
        <v>16</v>
      </c>
      <c r="G38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8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6" s="19">
        <f>IFERROR(INDEX([1]!tb_Vendas[Crédito],MATCH(tb_Auditoria[[#This Row],[Nº CONTRATO]],[1]!tb_Vendas[Nº Contrato],0)),0)</f>
        <v>290024.53999999998</v>
      </c>
      <c r="K386" s="21">
        <f>IFERROR(tb_Auditoria[[#This Row],[VALOR ESPERADO]] / tb_Auditoria[[#This Row],[VALOR CRÉDITO]], 0)</f>
        <v>0</v>
      </c>
      <c r="L386" s="19" t="e">
        <f>SUMIFS([1]!Motor_Comissão[Valor Previsto],[1]!Motor_Comissão[Chave], tb_Auditoria[[#This Row],[Nº CONTRATO]]&amp;"-"&amp;tb_Auditoria[[#This Row],[PARCELA ATUAL]])</f>
        <v>#REF!</v>
      </c>
      <c r="M386" s="19" t="e">
        <f>tb_Auditoria[[#This Row],[VALOR PAGO]] - tb_Auditoria[[#This Row],[VALOR ESPERADO]]</f>
        <v>#REF!</v>
      </c>
      <c r="N3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7" spans="1:15">
      <c r="A387" s="9">
        <v>1151512</v>
      </c>
      <c r="B387" s="10">
        <v>7</v>
      </c>
      <c r="C387" s="28">
        <v>2.0300000000000001E-3</v>
      </c>
      <c r="D387" s="12">
        <f>tb_Auditoria[[#This Row],[% TAXA RELATÓRIO]]*tb_Auditoria[[#This Row],[VALOR CRÉDITO]]</f>
        <v>588.74981619999994</v>
      </c>
      <c r="E387" s="13">
        <v>46100</v>
      </c>
      <c r="F387" s="13" t="s">
        <v>16</v>
      </c>
      <c r="G38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8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7" s="19">
        <f>IFERROR(INDEX([1]!tb_Vendas[Crédito],MATCH(tb_Auditoria[[#This Row],[Nº CONTRATO]],[1]!tb_Vendas[Nº Contrato],0)),0)</f>
        <v>290024.53999999998</v>
      </c>
      <c r="K387" s="21">
        <f>IFERROR(tb_Auditoria[[#This Row],[VALOR ESPERADO]] / tb_Auditoria[[#This Row],[VALOR CRÉDITO]], 0)</f>
        <v>0</v>
      </c>
      <c r="L387" s="19" t="e">
        <f>SUMIFS([1]!Motor_Comissão[Valor Previsto],[1]!Motor_Comissão[Chave], tb_Auditoria[[#This Row],[Nº CONTRATO]]&amp;"-"&amp;tb_Auditoria[[#This Row],[PARCELA ATUAL]])</f>
        <v>#REF!</v>
      </c>
      <c r="M387" s="19" t="e">
        <f>tb_Auditoria[[#This Row],[VALOR PAGO]] - tb_Auditoria[[#This Row],[VALOR ESPERADO]]</f>
        <v>#REF!</v>
      </c>
      <c r="N3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8" spans="1:15">
      <c r="A388" s="9">
        <v>1151514</v>
      </c>
      <c r="B388" s="10">
        <v>7</v>
      </c>
      <c r="C388" s="28">
        <v>2.0300000000000001E-3</v>
      </c>
      <c r="D388" s="12">
        <f>tb_Auditoria[[#This Row],[% TAXA RELATÓRIO]]*tb_Auditoria[[#This Row],[VALOR CRÉDITO]]</f>
        <v>1216.8159212999999</v>
      </c>
      <c r="E388" s="13">
        <v>46100</v>
      </c>
      <c r="F388" s="13" t="s">
        <v>16</v>
      </c>
      <c r="G38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8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8" s="19">
        <f>IFERROR(INDEX([1]!tb_Vendas[Crédito],MATCH(tb_Auditoria[[#This Row],[Nº CONTRATO]],[1]!tb_Vendas[Nº Contrato],0)),0)</f>
        <v>599416.71</v>
      </c>
      <c r="K388" s="21">
        <f>IFERROR(tb_Auditoria[[#This Row],[VALOR ESPERADO]] / tb_Auditoria[[#This Row],[VALOR CRÉDITO]], 0)</f>
        <v>0</v>
      </c>
      <c r="L388" s="19" t="e">
        <f>SUMIFS([1]!Motor_Comissão[Valor Previsto],[1]!Motor_Comissão[Chave], tb_Auditoria[[#This Row],[Nº CONTRATO]]&amp;"-"&amp;tb_Auditoria[[#This Row],[PARCELA ATUAL]])</f>
        <v>#REF!</v>
      </c>
      <c r="M388" s="19" t="e">
        <f>tb_Auditoria[[#This Row],[VALOR PAGO]] - tb_Auditoria[[#This Row],[VALOR ESPERADO]]</f>
        <v>#REF!</v>
      </c>
      <c r="N3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89" spans="1:15">
      <c r="A389" s="9">
        <v>1151515</v>
      </c>
      <c r="B389" s="10">
        <v>7</v>
      </c>
      <c r="C389" s="28">
        <v>2.0300000000000001E-3</v>
      </c>
      <c r="D389" s="12">
        <f>tb_Auditoria[[#This Row],[% TAXA RELATÓRIO]]*tb_Auditoria[[#This Row],[VALOR CRÉDITO]]</f>
        <v>1216.8159212999999</v>
      </c>
      <c r="E389" s="13">
        <v>46100</v>
      </c>
      <c r="F389" s="13" t="s">
        <v>16</v>
      </c>
      <c r="G38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8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8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89" s="19">
        <f>IFERROR(INDEX([1]!tb_Vendas[Crédito],MATCH(tb_Auditoria[[#This Row],[Nº CONTRATO]],[1]!tb_Vendas[Nº Contrato],0)),0)</f>
        <v>599416.71</v>
      </c>
      <c r="K389" s="21">
        <f>IFERROR(tb_Auditoria[[#This Row],[VALOR ESPERADO]] / tb_Auditoria[[#This Row],[VALOR CRÉDITO]], 0)</f>
        <v>0</v>
      </c>
      <c r="L389" s="19" t="e">
        <f>SUMIFS([1]!Motor_Comissão[Valor Previsto],[1]!Motor_Comissão[Chave], tb_Auditoria[[#This Row],[Nº CONTRATO]]&amp;"-"&amp;tb_Auditoria[[#This Row],[PARCELA ATUAL]])</f>
        <v>#REF!</v>
      </c>
      <c r="M389" s="19" t="e">
        <f>tb_Auditoria[[#This Row],[VALOR PAGO]] - tb_Auditoria[[#This Row],[VALOR ESPERADO]]</f>
        <v>#REF!</v>
      </c>
      <c r="N3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0" spans="1:15">
      <c r="A390" s="9">
        <v>1151516</v>
      </c>
      <c r="B390" s="10">
        <v>7</v>
      </c>
      <c r="C390" s="28">
        <v>2.0300000000000001E-3</v>
      </c>
      <c r="D390" s="12">
        <f>tb_Auditoria[[#This Row],[% TAXA RELATÓRIO]]*tb_Auditoria[[#This Row],[VALOR CRÉDITO]]</f>
        <v>1216.8159212999999</v>
      </c>
      <c r="E390" s="13">
        <v>46100</v>
      </c>
      <c r="F390" s="13" t="s">
        <v>16</v>
      </c>
      <c r="G39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9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0" s="19">
        <f>IFERROR(INDEX([1]!tb_Vendas[Crédito],MATCH(tb_Auditoria[[#This Row],[Nº CONTRATO]],[1]!tb_Vendas[Nº Contrato],0)),0)</f>
        <v>599416.71</v>
      </c>
      <c r="K390" s="21">
        <f>IFERROR(tb_Auditoria[[#This Row],[VALOR ESPERADO]] / tb_Auditoria[[#This Row],[VALOR CRÉDITO]], 0)</f>
        <v>0</v>
      </c>
      <c r="L390" s="19" t="e">
        <f>SUMIFS([1]!Motor_Comissão[Valor Previsto],[1]!Motor_Comissão[Chave], tb_Auditoria[[#This Row],[Nº CONTRATO]]&amp;"-"&amp;tb_Auditoria[[#This Row],[PARCELA ATUAL]])</f>
        <v>#REF!</v>
      </c>
      <c r="M390" s="19" t="e">
        <f>tb_Auditoria[[#This Row],[VALOR PAGO]] - tb_Auditoria[[#This Row],[VALOR ESPERADO]]</f>
        <v>#REF!</v>
      </c>
      <c r="N3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1" spans="1:15">
      <c r="A391" s="9">
        <v>1151517</v>
      </c>
      <c r="B391" s="10">
        <v>7</v>
      </c>
      <c r="C391" s="28">
        <v>2.0300000000000001E-3</v>
      </c>
      <c r="D391" s="12">
        <f>tb_Auditoria[[#This Row],[% TAXA RELATÓRIO]]*tb_Auditoria[[#This Row],[VALOR CRÉDITO]]</f>
        <v>1216.8159212999999</v>
      </c>
      <c r="E391" s="13">
        <v>46100</v>
      </c>
      <c r="F391" s="13" t="s">
        <v>16</v>
      </c>
      <c r="G39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9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1" s="19">
        <f>IFERROR(INDEX([1]!tb_Vendas[Crédito],MATCH(tb_Auditoria[[#This Row],[Nº CONTRATO]],[1]!tb_Vendas[Nº Contrato],0)),0)</f>
        <v>599416.71</v>
      </c>
      <c r="K391" s="21">
        <f>IFERROR(tb_Auditoria[[#This Row],[VALOR ESPERADO]] / tb_Auditoria[[#This Row],[VALOR CRÉDITO]], 0)</f>
        <v>0</v>
      </c>
      <c r="L391" s="19" t="e">
        <f>SUMIFS([1]!Motor_Comissão[Valor Previsto],[1]!Motor_Comissão[Chave], tb_Auditoria[[#This Row],[Nº CONTRATO]]&amp;"-"&amp;tb_Auditoria[[#This Row],[PARCELA ATUAL]])</f>
        <v>#REF!</v>
      </c>
      <c r="M391" s="19" t="e">
        <f>tb_Auditoria[[#This Row],[VALOR PAGO]] - tb_Auditoria[[#This Row],[VALOR ESPERADO]]</f>
        <v>#REF!</v>
      </c>
      <c r="N3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2" spans="1:15">
      <c r="A392" s="9">
        <v>1151518</v>
      </c>
      <c r="B392" s="10">
        <v>7</v>
      </c>
      <c r="C392" s="28">
        <v>2.0300000000000001E-3</v>
      </c>
      <c r="D392" s="12">
        <f>tb_Auditoria[[#This Row],[% TAXA RELATÓRIO]]*tb_Auditoria[[#This Row],[VALOR CRÉDITO]]</f>
        <v>1216.8159212999999</v>
      </c>
      <c r="E392" s="13">
        <v>46100</v>
      </c>
      <c r="F392" s="13" t="s">
        <v>16</v>
      </c>
      <c r="G39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9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2" s="19">
        <f>IFERROR(INDEX([1]!tb_Vendas[Crédito],MATCH(tb_Auditoria[[#This Row],[Nº CONTRATO]],[1]!tb_Vendas[Nº Contrato],0)),0)</f>
        <v>599416.71</v>
      </c>
      <c r="K392" s="21">
        <f>IFERROR(tb_Auditoria[[#This Row],[VALOR ESPERADO]] / tb_Auditoria[[#This Row],[VALOR CRÉDITO]], 0)</f>
        <v>0</v>
      </c>
      <c r="L392" s="19" t="e">
        <f>SUMIFS([1]!Motor_Comissão[Valor Previsto],[1]!Motor_Comissão[Chave], tb_Auditoria[[#This Row],[Nº CONTRATO]]&amp;"-"&amp;tb_Auditoria[[#This Row],[PARCELA ATUAL]])</f>
        <v>#REF!</v>
      </c>
      <c r="M392" s="19" t="e">
        <f>tb_Auditoria[[#This Row],[VALOR PAGO]] - tb_Auditoria[[#This Row],[VALOR ESPERADO]]</f>
        <v>#REF!</v>
      </c>
      <c r="N3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3" spans="1:15">
      <c r="A393" s="9">
        <v>1151519</v>
      </c>
      <c r="B393" s="10">
        <v>7</v>
      </c>
      <c r="C393" s="28">
        <v>2.0300000000000001E-3</v>
      </c>
      <c r="D393" s="12">
        <f>tb_Auditoria[[#This Row],[% TAXA RELATÓRIO]]*tb_Auditoria[[#This Row],[VALOR CRÉDITO]]</f>
        <v>1216.8159212999999</v>
      </c>
      <c r="E393" s="13">
        <v>46100</v>
      </c>
      <c r="F393" s="13" t="s">
        <v>16</v>
      </c>
      <c r="G39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9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3" s="19">
        <f>IFERROR(INDEX([1]!tb_Vendas[Crédito],MATCH(tb_Auditoria[[#This Row],[Nº CONTRATO]],[1]!tb_Vendas[Nº Contrato],0)),0)</f>
        <v>599416.71</v>
      </c>
      <c r="K393" s="21">
        <f>IFERROR(tb_Auditoria[[#This Row],[VALOR ESPERADO]] / tb_Auditoria[[#This Row],[VALOR CRÉDITO]], 0)</f>
        <v>0</v>
      </c>
      <c r="L393" s="19" t="e">
        <f>SUMIFS([1]!Motor_Comissão[Valor Previsto],[1]!Motor_Comissão[Chave], tb_Auditoria[[#This Row],[Nº CONTRATO]]&amp;"-"&amp;tb_Auditoria[[#This Row],[PARCELA ATUAL]])</f>
        <v>#REF!</v>
      </c>
      <c r="M393" s="19" t="e">
        <f>tb_Auditoria[[#This Row],[VALOR PAGO]] - tb_Auditoria[[#This Row],[VALOR ESPERADO]]</f>
        <v>#REF!</v>
      </c>
      <c r="N3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4" spans="1:15">
      <c r="A394" s="9">
        <v>1151520</v>
      </c>
      <c r="B394" s="10">
        <v>7</v>
      </c>
      <c r="C394" s="28">
        <v>2.0300000000000001E-3</v>
      </c>
      <c r="D394" s="12">
        <f>tb_Auditoria[[#This Row],[% TAXA RELATÓRIO]]*tb_Auditoria[[#This Row],[VALOR CRÉDITO]]</f>
        <v>1216.8159212999999</v>
      </c>
      <c r="E394" s="13">
        <v>46100</v>
      </c>
      <c r="F394" s="13" t="s">
        <v>16</v>
      </c>
      <c r="G39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9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4" s="19">
        <f>IFERROR(INDEX([1]!tb_Vendas[Crédito],MATCH(tb_Auditoria[[#This Row],[Nº CONTRATO]],[1]!tb_Vendas[Nº Contrato],0)),0)</f>
        <v>599416.71</v>
      </c>
      <c r="K394" s="21">
        <f>IFERROR(tb_Auditoria[[#This Row],[VALOR ESPERADO]] / tb_Auditoria[[#This Row],[VALOR CRÉDITO]], 0)</f>
        <v>0</v>
      </c>
      <c r="L394" s="19" t="e">
        <f>SUMIFS([1]!Motor_Comissão[Valor Previsto],[1]!Motor_Comissão[Chave], tb_Auditoria[[#This Row],[Nº CONTRATO]]&amp;"-"&amp;tb_Auditoria[[#This Row],[PARCELA ATUAL]])</f>
        <v>#REF!</v>
      </c>
      <c r="M394" s="19" t="e">
        <f>tb_Auditoria[[#This Row],[VALOR PAGO]] - tb_Auditoria[[#This Row],[VALOR ESPERADO]]</f>
        <v>#REF!</v>
      </c>
      <c r="N39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5" spans="1:15">
      <c r="A395" s="9">
        <v>1151521</v>
      </c>
      <c r="B395" s="10">
        <v>7</v>
      </c>
      <c r="C395" s="28">
        <v>2.0300000000000001E-3</v>
      </c>
      <c r="D395" s="12">
        <f>tb_Auditoria[[#This Row],[% TAXA RELATÓRIO]]*tb_Auditoria[[#This Row],[VALOR CRÉDITO]]</f>
        <v>1216.8159212999999</v>
      </c>
      <c r="E395" s="13">
        <v>46100</v>
      </c>
      <c r="F395" s="13" t="s">
        <v>16</v>
      </c>
      <c r="G39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9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5" s="19">
        <f>IFERROR(INDEX([1]!tb_Vendas[Crédito],MATCH(tb_Auditoria[[#This Row],[Nº CONTRATO]],[1]!tb_Vendas[Nº Contrato],0)),0)</f>
        <v>599416.71</v>
      </c>
      <c r="K395" s="21">
        <f>IFERROR(tb_Auditoria[[#This Row],[VALOR ESPERADO]] / tb_Auditoria[[#This Row],[VALOR CRÉDITO]], 0)</f>
        <v>0</v>
      </c>
      <c r="L395" s="19" t="e">
        <f>SUMIFS([1]!Motor_Comissão[Valor Previsto],[1]!Motor_Comissão[Chave], tb_Auditoria[[#This Row],[Nº CONTRATO]]&amp;"-"&amp;tb_Auditoria[[#This Row],[PARCELA ATUAL]])</f>
        <v>#REF!</v>
      </c>
      <c r="M395" s="19" t="e">
        <f>tb_Auditoria[[#This Row],[VALOR PAGO]] - tb_Auditoria[[#This Row],[VALOR ESPERADO]]</f>
        <v>#REF!</v>
      </c>
      <c r="N3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6" spans="1:15">
      <c r="A396" s="9">
        <v>1151522</v>
      </c>
      <c r="B396" s="10">
        <v>7</v>
      </c>
      <c r="C396" s="28">
        <v>2.0300000000000001E-3</v>
      </c>
      <c r="D396" s="12">
        <f>tb_Auditoria[[#This Row],[% TAXA RELATÓRIO]]*tb_Auditoria[[#This Row],[VALOR CRÉDITO]]</f>
        <v>1216.8159212999999</v>
      </c>
      <c r="E396" s="13">
        <v>46100</v>
      </c>
      <c r="F396" s="13" t="s">
        <v>16</v>
      </c>
      <c r="G39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9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6" s="19">
        <f>IFERROR(INDEX([1]!tb_Vendas[Crédito],MATCH(tb_Auditoria[[#This Row],[Nº CONTRATO]],[1]!tb_Vendas[Nº Contrato],0)),0)</f>
        <v>599416.71</v>
      </c>
      <c r="K396" s="21">
        <f>IFERROR(tb_Auditoria[[#This Row],[VALOR ESPERADO]] / tb_Auditoria[[#This Row],[VALOR CRÉDITO]], 0)</f>
        <v>0</v>
      </c>
      <c r="L396" s="19" t="e">
        <f>SUMIFS([1]!Motor_Comissão[Valor Previsto],[1]!Motor_Comissão[Chave], tb_Auditoria[[#This Row],[Nº CONTRATO]]&amp;"-"&amp;tb_Auditoria[[#This Row],[PARCELA ATUAL]])</f>
        <v>#REF!</v>
      </c>
      <c r="M396" s="19" t="e">
        <f>tb_Auditoria[[#This Row],[VALOR PAGO]] - tb_Auditoria[[#This Row],[VALOR ESPERADO]]</f>
        <v>#REF!</v>
      </c>
      <c r="N3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7" spans="1:15">
      <c r="A397" s="9">
        <v>1151523</v>
      </c>
      <c r="B397" s="10">
        <v>7</v>
      </c>
      <c r="C397" s="28">
        <v>2.2620000000000001E-3</v>
      </c>
      <c r="D397" s="12">
        <f>tb_Auditoria[[#This Row],[% TAXA RELATÓRIO]]*tb_Auditoria[[#This Row],[VALOR CRÉDITO]]</f>
        <v>1010.3969686200001</v>
      </c>
      <c r="E397" s="13">
        <v>46100</v>
      </c>
      <c r="F397" s="13" t="s">
        <v>16</v>
      </c>
      <c r="G39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9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7" s="19">
        <f>IFERROR(INDEX([1]!tb_Vendas[Crédito],MATCH(tb_Auditoria[[#This Row],[Nº CONTRATO]],[1]!tb_Vendas[Nº Contrato],0)),0)</f>
        <v>446683.01</v>
      </c>
      <c r="K397" s="21">
        <f>IFERROR(tb_Auditoria[[#This Row],[VALOR ESPERADO]] / tb_Auditoria[[#This Row],[VALOR CRÉDITO]], 0)</f>
        <v>0</v>
      </c>
      <c r="L397" s="19" t="e">
        <f>SUMIFS([1]!Motor_Comissão[Valor Previsto],[1]!Motor_Comissão[Chave], tb_Auditoria[[#This Row],[Nº CONTRATO]]&amp;"-"&amp;tb_Auditoria[[#This Row],[PARCELA ATUAL]])</f>
        <v>#REF!</v>
      </c>
      <c r="M397" s="19" t="e">
        <f>tb_Auditoria[[#This Row],[VALOR PAGO]] - tb_Auditoria[[#This Row],[VALOR ESPERADO]]</f>
        <v>#REF!</v>
      </c>
      <c r="N3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8" spans="1:15">
      <c r="A398" s="9">
        <v>1151525</v>
      </c>
      <c r="B398" s="10">
        <v>7</v>
      </c>
      <c r="C398" s="28">
        <v>2.2620000000000001E-3</v>
      </c>
      <c r="D398" s="12">
        <f>tb_Auditoria[[#This Row],[% TAXA RELATÓRIO]]*tb_Auditoria[[#This Row],[VALOR CRÉDITO]]</f>
        <v>1010.3969686200001</v>
      </c>
      <c r="E398" s="13">
        <v>46100</v>
      </c>
      <c r="F398" s="13" t="s">
        <v>16</v>
      </c>
      <c r="G39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9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8" s="19">
        <f>IFERROR(INDEX([1]!tb_Vendas[Crédito],MATCH(tb_Auditoria[[#This Row],[Nº CONTRATO]],[1]!tb_Vendas[Nº Contrato],0)),0)</f>
        <v>446683.01</v>
      </c>
      <c r="K398" s="21">
        <f>IFERROR(tb_Auditoria[[#This Row],[VALOR ESPERADO]] / tb_Auditoria[[#This Row],[VALOR CRÉDITO]], 0)</f>
        <v>0</v>
      </c>
      <c r="L398" s="19" t="e">
        <f>SUMIFS([1]!Motor_Comissão[Valor Previsto],[1]!Motor_Comissão[Chave], tb_Auditoria[[#This Row],[Nº CONTRATO]]&amp;"-"&amp;tb_Auditoria[[#This Row],[PARCELA ATUAL]])</f>
        <v>#REF!</v>
      </c>
      <c r="M398" s="19" t="e">
        <f>tb_Auditoria[[#This Row],[VALOR PAGO]] - tb_Auditoria[[#This Row],[VALOR ESPERADO]]</f>
        <v>#REF!</v>
      </c>
      <c r="N3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399" spans="1:15">
      <c r="A399" s="9">
        <v>1151526</v>
      </c>
      <c r="B399" s="10">
        <v>7</v>
      </c>
      <c r="C399" s="28">
        <v>2.32E-3</v>
      </c>
      <c r="D399" s="12">
        <f>tb_Auditoria[[#This Row],[% TAXA RELATÓRIO]]*tb_Auditoria[[#This Row],[VALOR CRÉDITO]]</f>
        <v>928</v>
      </c>
      <c r="E399" s="13">
        <v>46100</v>
      </c>
      <c r="F399" s="13" t="s">
        <v>16</v>
      </c>
      <c r="G39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39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39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399" s="19">
        <f>IFERROR(INDEX([1]!tb_Vendas[Crédito],MATCH(tb_Auditoria[[#This Row],[Nº CONTRATO]],[1]!tb_Vendas[Nº Contrato],0)),0)</f>
        <v>400000</v>
      </c>
      <c r="K399" s="21">
        <f>IFERROR(tb_Auditoria[[#This Row],[VALOR ESPERADO]] / tb_Auditoria[[#This Row],[VALOR CRÉDITO]], 0)</f>
        <v>0</v>
      </c>
      <c r="L399" s="19" t="e">
        <f>SUMIFS([1]!Motor_Comissão[Valor Previsto],[1]!Motor_Comissão[Chave], tb_Auditoria[[#This Row],[Nº CONTRATO]]&amp;"-"&amp;tb_Auditoria[[#This Row],[PARCELA ATUAL]])</f>
        <v>#REF!</v>
      </c>
      <c r="M399" s="19" t="e">
        <f>tb_Auditoria[[#This Row],[VALOR PAGO]] - tb_Auditoria[[#This Row],[VALOR ESPERADO]]</f>
        <v>#REF!</v>
      </c>
      <c r="N3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3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0" spans="1:15">
      <c r="A400" s="9">
        <v>1151527</v>
      </c>
      <c r="B400" s="10">
        <v>7</v>
      </c>
      <c r="C400" s="28">
        <v>2.32E-3</v>
      </c>
      <c r="D400" s="12">
        <f>tb_Auditoria[[#This Row],[% TAXA RELATÓRIO]]*tb_Auditoria[[#This Row],[VALOR CRÉDITO]]</f>
        <v>928</v>
      </c>
      <c r="E400" s="13">
        <v>46100</v>
      </c>
      <c r="F400" s="13" t="s">
        <v>16</v>
      </c>
      <c r="G40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0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0" s="19">
        <f>IFERROR(INDEX([1]!tb_Vendas[Crédito],MATCH(tb_Auditoria[[#This Row],[Nº CONTRATO]],[1]!tb_Vendas[Nº Contrato],0)),0)</f>
        <v>400000</v>
      </c>
      <c r="K400" s="21">
        <f>IFERROR(tb_Auditoria[[#This Row],[VALOR ESPERADO]] / tb_Auditoria[[#This Row],[VALOR CRÉDITO]], 0)</f>
        <v>0</v>
      </c>
      <c r="L400" s="19" t="e">
        <f>SUMIFS([1]!Motor_Comissão[Valor Previsto],[1]!Motor_Comissão[Chave], tb_Auditoria[[#This Row],[Nº CONTRATO]]&amp;"-"&amp;tb_Auditoria[[#This Row],[PARCELA ATUAL]])</f>
        <v>#REF!</v>
      </c>
      <c r="M400" s="19" t="e">
        <f>tb_Auditoria[[#This Row],[VALOR PAGO]] - tb_Auditoria[[#This Row],[VALOR ESPERADO]]</f>
        <v>#REF!</v>
      </c>
      <c r="N4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1" spans="1:15">
      <c r="A401" s="9">
        <v>1151528</v>
      </c>
      <c r="B401" s="10">
        <v>7</v>
      </c>
      <c r="C401" s="28">
        <v>2.32E-3</v>
      </c>
      <c r="D401" s="12">
        <f>tb_Auditoria[[#This Row],[% TAXA RELATÓRIO]]*tb_Auditoria[[#This Row],[VALOR CRÉDITO]]</f>
        <v>928</v>
      </c>
      <c r="E401" s="13">
        <v>46100</v>
      </c>
      <c r="F401" s="13" t="s">
        <v>16</v>
      </c>
      <c r="G40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0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1" s="19">
        <f>IFERROR(INDEX([1]!tb_Vendas[Crédito],MATCH(tb_Auditoria[[#This Row],[Nº CONTRATO]],[1]!tb_Vendas[Nº Contrato],0)),0)</f>
        <v>400000</v>
      </c>
      <c r="K401" s="21">
        <f>IFERROR(tb_Auditoria[[#This Row],[VALOR ESPERADO]] / tb_Auditoria[[#This Row],[VALOR CRÉDITO]], 0)</f>
        <v>0</v>
      </c>
      <c r="L401" s="19" t="e">
        <f>SUMIFS([1]!Motor_Comissão[Valor Previsto],[1]!Motor_Comissão[Chave], tb_Auditoria[[#This Row],[Nº CONTRATO]]&amp;"-"&amp;tb_Auditoria[[#This Row],[PARCELA ATUAL]])</f>
        <v>#REF!</v>
      </c>
      <c r="M401" s="19" t="e">
        <f>tb_Auditoria[[#This Row],[VALOR PAGO]] - tb_Auditoria[[#This Row],[VALOR ESPERADO]]</f>
        <v>#REF!</v>
      </c>
      <c r="N4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2" spans="1:15">
      <c r="A402" s="9">
        <v>1151529</v>
      </c>
      <c r="B402" s="10">
        <v>7</v>
      </c>
      <c r="C402" s="28">
        <v>2.32E-3</v>
      </c>
      <c r="D402" s="12">
        <f>tb_Auditoria[[#This Row],[% TAXA RELATÓRIO]]*tb_Auditoria[[#This Row],[VALOR CRÉDITO]]</f>
        <v>928</v>
      </c>
      <c r="E402" s="13">
        <v>46100</v>
      </c>
      <c r="F402" s="13" t="s">
        <v>16</v>
      </c>
      <c r="G40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0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2" s="19">
        <f>IFERROR(INDEX([1]!tb_Vendas[Crédito],MATCH(tb_Auditoria[[#This Row],[Nº CONTRATO]],[1]!tb_Vendas[Nº Contrato],0)),0)</f>
        <v>400000</v>
      </c>
      <c r="K402" s="21">
        <f>IFERROR(tb_Auditoria[[#This Row],[VALOR ESPERADO]] / tb_Auditoria[[#This Row],[VALOR CRÉDITO]], 0)</f>
        <v>0</v>
      </c>
      <c r="L402" s="19" t="e">
        <f>SUMIFS([1]!Motor_Comissão[Valor Previsto],[1]!Motor_Comissão[Chave], tb_Auditoria[[#This Row],[Nº CONTRATO]]&amp;"-"&amp;tb_Auditoria[[#This Row],[PARCELA ATUAL]])</f>
        <v>#REF!</v>
      </c>
      <c r="M402" s="19" t="e">
        <f>tb_Auditoria[[#This Row],[VALOR PAGO]] - tb_Auditoria[[#This Row],[VALOR ESPERADO]]</f>
        <v>#REF!</v>
      </c>
      <c r="N4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3" spans="1:15">
      <c r="A403" s="9">
        <v>1151530</v>
      </c>
      <c r="B403" s="10">
        <v>7</v>
      </c>
      <c r="C403" s="28">
        <v>2.32E-3</v>
      </c>
      <c r="D403" s="12">
        <f>tb_Auditoria[[#This Row],[% TAXA RELATÓRIO]]*tb_Auditoria[[#This Row],[VALOR CRÉDITO]]</f>
        <v>928</v>
      </c>
      <c r="E403" s="13">
        <v>46100</v>
      </c>
      <c r="F403" s="13" t="s">
        <v>16</v>
      </c>
      <c r="G40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0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3" s="19">
        <f>IFERROR(INDEX([1]!tb_Vendas[Crédito],MATCH(tb_Auditoria[[#This Row],[Nº CONTRATO]],[1]!tb_Vendas[Nº Contrato],0)),0)</f>
        <v>400000</v>
      </c>
      <c r="K403" s="21">
        <f>IFERROR(tb_Auditoria[[#This Row],[VALOR ESPERADO]] / tb_Auditoria[[#This Row],[VALOR CRÉDITO]], 0)</f>
        <v>0</v>
      </c>
      <c r="L403" s="19" t="e">
        <f>SUMIFS([1]!Motor_Comissão[Valor Previsto],[1]!Motor_Comissão[Chave], tb_Auditoria[[#This Row],[Nº CONTRATO]]&amp;"-"&amp;tb_Auditoria[[#This Row],[PARCELA ATUAL]])</f>
        <v>#REF!</v>
      </c>
      <c r="M403" s="19" t="e">
        <f>tb_Auditoria[[#This Row],[VALOR PAGO]] - tb_Auditoria[[#This Row],[VALOR ESPERADO]]</f>
        <v>#REF!</v>
      </c>
      <c r="N4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4" spans="1:15">
      <c r="A404" s="9">
        <v>1151532</v>
      </c>
      <c r="B404" s="10">
        <v>7</v>
      </c>
      <c r="C404" s="28">
        <v>1.72E-3</v>
      </c>
      <c r="D404" s="12">
        <f>tb_Auditoria[[#This Row],[% TAXA RELATÓRIO]]*tb_Auditoria[[#This Row],[VALOR CRÉDITO]]</f>
        <v>731</v>
      </c>
      <c r="E404" s="13">
        <v>46100</v>
      </c>
      <c r="F404" s="13" t="s">
        <v>16</v>
      </c>
      <c r="G40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0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4" s="19">
        <f>IFERROR(INDEX([1]!tb_Vendas[Crédito],MATCH(tb_Auditoria[[#This Row],[Nº CONTRATO]],[1]!tb_Vendas[Nº Contrato],0)),0)</f>
        <v>425000</v>
      </c>
      <c r="K404" s="21">
        <f>IFERROR(tb_Auditoria[[#This Row],[VALOR ESPERADO]] / tb_Auditoria[[#This Row],[VALOR CRÉDITO]], 0)</f>
        <v>0</v>
      </c>
      <c r="L404" s="19" t="e">
        <f>SUMIFS([1]!Motor_Comissão[Valor Previsto],[1]!Motor_Comissão[Chave], tb_Auditoria[[#This Row],[Nº CONTRATO]]&amp;"-"&amp;tb_Auditoria[[#This Row],[PARCELA ATUAL]])</f>
        <v>#REF!</v>
      </c>
      <c r="M404" s="19" t="e">
        <f>tb_Auditoria[[#This Row],[VALOR PAGO]] - tb_Auditoria[[#This Row],[VALOR ESPERADO]]</f>
        <v>#REF!</v>
      </c>
      <c r="N4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5" spans="1:15">
      <c r="A405" s="9">
        <v>1151535</v>
      </c>
      <c r="B405" s="10">
        <v>7</v>
      </c>
      <c r="C405" s="28">
        <v>1.5479999999999999E-3</v>
      </c>
      <c r="D405" s="12">
        <f>tb_Auditoria[[#This Row],[% TAXA RELATÓRIO]]*tb_Auditoria[[#This Row],[VALOR CRÉDITO]]</f>
        <v>619.19999999999993</v>
      </c>
      <c r="E405" s="13">
        <v>46100</v>
      </c>
      <c r="F405" s="13" t="s">
        <v>16</v>
      </c>
      <c r="G40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0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5" s="19">
        <f>IFERROR(INDEX([1]!tb_Vendas[Crédito],MATCH(tb_Auditoria[[#This Row],[Nº CONTRATO]],[1]!tb_Vendas[Nº Contrato],0)),0)</f>
        <v>400000</v>
      </c>
      <c r="K405" s="21">
        <f>IFERROR(tb_Auditoria[[#This Row],[VALOR ESPERADO]] / tb_Auditoria[[#This Row],[VALOR CRÉDITO]], 0)</f>
        <v>0</v>
      </c>
      <c r="L405" s="19" t="e">
        <f>SUMIFS([1]!Motor_Comissão[Valor Previsto],[1]!Motor_Comissão[Chave], tb_Auditoria[[#This Row],[Nº CONTRATO]]&amp;"-"&amp;tb_Auditoria[[#This Row],[PARCELA ATUAL]])</f>
        <v>#REF!</v>
      </c>
      <c r="M405" s="19" t="e">
        <f>tb_Auditoria[[#This Row],[VALOR PAGO]] - tb_Auditoria[[#This Row],[VALOR ESPERADO]]</f>
        <v>#REF!</v>
      </c>
      <c r="N4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6" spans="1:15">
      <c r="A406" s="9">
        <v>1151536</v>
      </c>
      <c r="B406" s="10">
        <v>7</v>
      </c>
      <c r="C406" s="28">
        <v>1.5479999999999999E-3</v>
      </c>
      <c r="D406" s="12">
        <f>tb_Auditoria[[#This Row],[% TAXA RELATÓRIO]]*tb_Auditoria[[#This Row],[VALOR CRÉDITO]]</f>
        <v>619.19999999999993</v>
      </c>
      <c r="E406" s="13">
        <v>46100</v>
      </c>
      <c r="F406" s="13" t="s">
        <v>16</v>
      </c>
      <c r="G40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0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6" s="19">
        <f>IFERROR(INDEX([1]!tb_Vendas[Crédito],MATCH(tb_Auditoria[[#This Row],[Nº CONTRATO]],[1]!tb_Vendas[Nº Contrato],0)),0)</f>
        <v>400000</v>
      </c>
      <c r="K406" s="21">
        <f>IFERROR(tb_Auditoria[[#This Row],[VALOR ESPERADO]] / tb_Auditoria[[#This Row],[VALOR CRÉDITO]], 0)</f>
        <v>0</v>
      </c>
      <c r="L406" s="19" t="e">
        <f>SUMIFS([1]!Motor_Comissão[Valor Previsto],[1]!Motor_Comissão[Chave], tb_Auditoria[[#This Row],[Nº CONTRATO]]&amp;"-"&amp;tb_Auditoria[[#This Row],[PARCELA ATUAL]])</f>
        <v>#REF!</v>
      </c>
      <c r="M406" s="19" t="e">
        <f>tb_Auditoria[[#This Row],[VALOR PAGO]] - tb_Auditoria[[#This Row],[VALOR ESPERADO]]</f>
        <v>#REF!</v>
      </c>
      <c r="N4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7" spans="1:15">
      <c r="A407" s="9">
        <v>1151537</v>
      </c>
      <c r="B407" s="10">
        <v>7</v>
      </c>
      <c r="C407" s="28">
        <v>2.2039999999999998E-3</v>
      </c>
      <c r="D407" s="12">
        <f>tb_Auditoria[[#This Row],[% TAXA RELATÓRIO]]*tb_Auditoria[[#This Row],[VALOR CRÉDITO]]</f>
        <v>661.19999999999993</v>
      </c>
      <c r="E407" s="13">
        <v>46100</v>
      </c>
      <c r="F407" s="13" t="s">
        <v>16</v>
      </c>
      <c r="G40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0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7" s="19">
        <f>IFERROR(INDEX([1]!tb_Vendas[Crédito],MATCH(tb_Auditoria[[#This Row],[Nº CONTRATO]],[1]!tb_Vendas[Nº Contrato],0)),0)</f>
        <v>300000</v>
      </c>
      <c r="K407" s="21">
        <f>IFERROR(tb_Auditoria[[#This Row],[VALOR ESPERADO]] / tb_Auditoria[[#This Row],[VALOR CRÉDITO]], 0)</f>
        <v>0</v>
      </c>
      <c r="L407" s="19" t="e">
        <f>SUMIFS([1]!Motor_Comissão[Valor Previsto],[1]!Motor_Comissão[Chave], tb_Auditoria[[#This Row],[Nº CONTRATO]]&amp;"-"&amp;tb_Auditoria[[#This Row],[PARCELA ATUAL]])</f>
        <v>#REF!</v>
      </c>
      <c r="M407" s="19" t="e">
        <f>tb_Auditoria[[#This Row],[VALOR PAGO]] - tb_Auditoria[[#This Row],[VALOR ESPERADO]]</f>
        <v>#REF!</v>
      </c>
      <c r="N4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8" spans="1:15">
      <c r="A408" s="9">
        <v>1151539</v>
      </c>
      <c r="B408" s="10">
        <v>7</v>
      </c>
      <c r="C408" s="28">
        <v>2.2039999999999998E-3</v>
      </c>
      <c r="D408" s="12">
        <f>tb_Auditoria[[#This Row],[% TAXA RELATÓRIO]]*tb_Auditoria[[#This Row],[VALOR CRÉDITO]]</f>
        <v>705.28</v>
      </c>
      <c r="E408" s="13">
        <v>46100</v>
      </c>
      <c r="F408" s="13" t="s">
        <v>16</v>
      </c>
      <c r="G40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0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8" s="19">
        <f>IFERROR(INDEX([1]!tb_Vendas[Crédito],MATCH(tb_Auditoria[[#This Row],[Nº CONTRATO]],[1]!tb_Vendas[Nº Contrato],0)),0)</f>
        <v>320000</v>
      </c>
      <c r="K408" s="21">
        <f>IFERROR(tb_Auditoria[[#This Row],[VALOR ESPERADO]] / tb_Auditoria[[#This Row],[VALOR CRÉDITO]], 0)</f>
        <v>0</v>
      </c>
      <c r="L408" s="19" t="e">
        <f>SUMIFS([1]!Motor_Comissão[Valor Previsto],[1]!Motor_Comissão[Chave], tb_Auditoria[[#This Row],[Nº CONTRATO]]&amp;"-"&amp;tb_Auditoria[[#This Row],[PARCELA ATUAL]])</f>
        <v>#REF!</v>
      </c>
      <c r="M408" s="19" t="e">
        <f>tb_Auditoria[[#This Row],[VALOR PAGO]] - tb_Auditoria[[#This Row],[VALOR ESPERADO]]</f>
        <v>#REF!</v>
      </c>
      <c r="N4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09" spans="1:15">
      <c r="A409" s="9">
        <v>1151501</v>
      </c>
      <c r="B409" s="10">
        <v>8</v>
      </c>
      <c r="C409" s="28">
        <v>2.1459999999999999E-3</v>
      </c>
      <c r="D409" s="12">
        <f>tb_Auditoria[[#This Row],[% TAXA RELATÓRIO]]*tb_Auditoria[[#This Row],[VALOR CRÉDITO]]</f>
        <v>612.6643297999999</v>
      </c>
      <c r="E409" s="13">
        <v>46129</v>
      </c>
      <c r="F409" s="13" t="s">
        <v>16</v>
      </c>
      <c r="G40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0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0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09" s="19">
        <f>IFERROR(INDEX([1]!tb_Vendas[Crédito],MATCH(tb_Auditoria[[#This Row],[Nº CONTRATO]],[1]!tb_Vendas[Nº Contrato],0)),0)</f>
        <v>285491.3</v>
      </c>
      <c r="K409" s="21">
        <f>IFERROR(tb_Auditoria[[#This Row],[VALOR ESPERADO]] / tb_Auditoria[[#This Row],[VALOR CRÉDITO]], 0)</f>
        <v>0</v>
      </c>
      <c r="L409" s="19" t="e">
        <f>SUMIFS([1]!Motor_Comissão[Valor Previsto],[1]!Motor_Comissão[Chave], tb_Auditoria[[#This Row],[Nº CONTRATO]]&amp;"-"&amp;tb_Auditoria[[#This Row],[PARCELA ATUAL]])</f>
        <v>#REF!</v>
      </c>
      <c r="M409" s="19" t="e">
        <f>tb_Auditoria[[#This Row],[VALOR PAGO]] - tb_Auditoria[[#This Row],[VALOR ESPERADO]]</f>
        <v>#REF!</v>
      </c>
      <c r="N4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0" spans="1:15">
      <c r="A410" s="9">
        <v>1151503</v>
      </c>
      <c r="B410" s="10">
        <v>8</v>
      </c>
      <c r="C410" s="28">
        <v>2.1459999999999999E-3</v>
      </c>
      <c r="D410" s="12">
        <f>tb_Auditoria[[#This Row],[% TAXA RELATÓRIO]]*tb_Auditoria[[#This Row],[VALOR CRÉDITO]]</f>
        <v>612.6643297999999</v>
      </c>
      <c r="E410" s="13">
        <v>46129</v>
      </c>
      <c r="F410" s="13" t="s">
        <v>16</v>
      </c>
      <c r="G41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1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0" s="19">
        <f>IFERROR(INDEX([1]!tb_Vendas[Crédito],MATCH(tb_Auditoria[[#This Row],[Nº CONTRATO]],[1]!tb_Vendas[Nº Contrato],0)),0)</f>
        <v>285491.3</v>
      </c>
      <c r="K410" s="21">
        <f>IFERROR(tb_Auditoria[[#This Row],[VALOR ESPERADO]] / tb_Auditoria[[#This Row],[VALOR CRÉDITO]], 0)</f>
        <v>0</v>
      </c>
      <c r="L410" s="19" t="e">
        <f>SUMIFS([1]!Motor_Comissão[Valor Previsto],[1]!Motor_Comissão[Chave], tb_Auditoria[[#This Row],[Nº CONTRATO]]&amp;"-"&amp;tb_Auditoria[[#This Row],[PARCELA ATUAL]])</f>
        <v>#REF!</v>
      </c>
      <c r="M410" s="19" t="e">
        <f>tb_Auditoria[[#This Row],[VALOR PAGO]] - tb_Auditoria[[#This Row],[VALOR ESPERADO]]</f>
        <v>#REF!</v>
      </c>
      <c r="N4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1" spans="1:15">
      <c r="A411" s="9">
        <v>1151505</v>
      </c>
      <c r="B411" s="10">
        <v>8</v>
      </c>
      <c r="C411" s="28">
        <v>2.1459999999999999E-3</v>
      </c>
      <c r="D411" s="12">
        <f>tb_Auditoria[[#This Row],[% TAXA RELATÓRIO]]*tb_Auditoria[[#This Row],[VALOR CRÉDITO]]</f>
        <v>612.6643297999999</v>
      </c>
      <c r="E411" s="13">
        <v>46129</v>
      </c>
      <c r="F411" s="13" t="s">
        <v>16</v>
      </c>
      <c r="G41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1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1" s="19">
        <f>IFERROR(INDEX([1]!tb_Vendas[Crédito],MATCH(tb_Auditoria[[#This Row],[Nº CONTRATO]],[1]!tb_Vendas[Nº Contrato],0)),0)</f>
        <v>285491.3</v>
      </c>
      <c r="K411" s="21">
        <f>IFERROR(tb_Auditoria[[#This Row],[VALOR ESPERADO]] / tb_Auditoria[[#This Row],[VALOR CRÉDITO]], 0)</f>
        <v>0</v>
      </c>
      <c r="L411" s="19" t="e">
        <f>SUMIFS([1]!Motor_Comissão[Valor Previsto],[1]!Motor_Comissão[Chave], tb_Auditoria[[#This Row],[Nº CONTRATO]]&amp;"-"&amp;tb_Auditoria[[#This Row],[PARCELA ATUAL]])</f>
        <v>#REF!</v>
      </c>
      <c r="M411" s="19" t="e">
        <f>tb_Auditoria[[#This Row],[VALOR PAGO]] - tb_Auditoria[[#This Row],[VALOR ESPERADO]]</f>
        <v>#REF!</v>
      </c>
      <c r="N4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2" spans="1:15">
      <c r="A412" s="9">
        <v>1151506</v>
      </c>
      <c r="B412" s="10">
        <v>8</v>
      </c>
      <c r="C412" s="28">
        <v>2.0300000000000001E-3</v>
      </c>
      <c r="D412" s="12">
        <f>tb_Auditoria[[#This Row],[% TAXA RELATÓRIO]]*tb_Auditoria[[#This Row],[VALOR CRÉDITO]]</f>
        <v>620.89831720000006</v>
      </c>
      <c r="E412" s="13">
        <v>46129</v>
      </c>
      <c r="F412" s="13" t="s">
        <v>16</v>
      </c>
      <c r="G41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1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2" s="19">
        <f>IFERROR(INDEX([1]!tb_Vendas[Crédito],MATCH(tb_Auditoria[[#This Row],[Nº CONTRATO]],[1]!tb_Vendas[Nº Contrato],0)),0)</f>
        <v>305861.24</v>
      </c>
      <c r="K412" s="21">
        <f>IFERROR(tb_Auditoria[[#This Row],[VALOR ESPERADO]] / tb_Auditoria[[#This Row],[VALOR CRÉDITO]], 0)</f>
        <v>0</v>
      </c>
      <c r="L412" s="19" t="e">
        <f>SUMIFS([1]!Motor_Comissão[Valor Previsto],[1]!Motor_Comissão[Chave], tb_Auditoria[[#This Row],[Nº CONTRATO]]&amp;"-"&amp;tb_Auditoria[[#This Row],[PARCELA ATUAL]])</f>
        <v>#REF!</v>
      </c>
      <c r="M412" s="19" t="e">
        <f>tb_Auditoria[[#This Row],[VALOR PAGO]] - tb_Auditoria[[#This Row],[VALOR ESPERADO]]</f>
        <v>#REF!</v>
      </c>
      <c r="N4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3" spans="1:15">
      <c r="A413" s="9">
        <v>1151507</v>
      </c>
      <c r="B413" s="10">
        <v>8</v>
      </c>
      <c r="C413" s="28">
        <v>2.0300000000000001E-3</v>
      </c>
      <c r="D413" s="12">
        <f>tb_Auditoria[[#This Row],[% TAXA RELATÓRIO]]*tb_Auditoria[[#This Row],[VALOR CRÉDITO]]</f>
        <v>620.89831720000006</v>
      </c>
      <c r="E413" s="13">
        <v>46129</v>
      </c>
      <c r="F413" s="13" t="s">
        <v>16</v>
      </c>
      <c r="G41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1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3" s="19">
        <f>IFERROR(INDEX([1]!tb_Vendas[Crédito],MATCH(tb_Auditoria[[#This Row],[Nº CONTRATO]],[1]!tb_Vendas[Nº Contrato],0)),0)</f>
        <v>305861.24</v>
      </c>
      <c r="K413" s="21">
        <f>IFERROR(tb_Auditoria[[#This Row],[VALOR ESPERADO]] / tb_Auditoria[[#This Row],[VALOR CRÉDITO]], 0)</f>
        <v>0</v>
      </c>
      <c r="L413" s="19" t="e">
        <f>SUMIFS([1]!Motor_Comissão[Valor Previsto],[1]!Motor_Comissão[Chave], tb_Auditoria[[#This Row],[Nº CONTRATO]]&amp;"-"&amp;tb_Auditoria[[#This Row],[PARCELA ATUAL]])</f>
        <v>#REF!</v>
      </c>
      <c r="M413" s="19" t="e">
        <f>tb_Auditoria[[#This Row],[VALOR PAGO]] - tb_Auditoria[[#This Row],[VALOR ESPERADO]]</f>
        <v>#REF!</v>
      </c>
      <c r="N4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4" spans="1:15">
      <c r="A414" s="9">
        <v>1151509</v>
      </c>
      <c r="B414" s="10">
        <v>8</v>
      </c>
      <c r="C414" s="28">
        <v>2.0300000000000001E-3</v>
      </c>
      <c r="D414" s="12">
        <f>tb_Auditoria[[#This Row],[% TAXA RELATÓRIO]]*tb_Auditoria[[#This Row],[VALOR CRÉDITO]]</f>
        <v>620.89831720000006</v>
      </c>
      <c r="E414" s="13">
        <v>46129</v>
      </c>
      <c r="F414" s="13" t="s">
        <v>16</v>
      </c>
      <c r="G41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1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4" s="19">
        <f>IFERROR(INDEX([1]!tb_Vendas[Crédito],MATCH(tb_Auditoria[[#This Row],[Nº CONTRATO]],[1]!tb_Vendas[Nº Contrato],0)),0)</f>
        <v>305861.24</v>
      </c>
      <c r="K414" s="21">
        <f>IFERROR(tb_Auditoria[[#This Row],[VALOR ESPERADO]] / tb_Auditoria[[#This Row],[VALOR CRÉDITO]], 0)</f>
        <v>0</v>
      </c>
      <c r="L414" s="19" t="e">
        <f>SUMIFS([1]!Motor_Comissão[Valor Previsto],[1]!Motor_Comissão[Chave], tb_Auditoria[[#This Row],[Nº CONTRATO]]&amp;"-"&amp;tb_Auditoria[[#This Row],[PARCELA ATUAL]])</f>
        <v>#REF!</v>
      </c>
      <c r="M414" s="19" t="e">
        <f>tb_Auditoria[[#This Row],[VALOR PAGO]] - tb_Auditoria[[#This Row],[VALOR ESPERADO]]</f>
        <v>#REF!</v>
      </c>
      <c r="N4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5" spans="1:15">
      <c r="A415" s="9">
        <v>1151510</v>
      </c>
      <c r="B415" s="10">
        <v>8</v>
      </c>
      <c r="C415" s="28">
        <v>2.0300000000000001E-3</v>
      </c>
      <c r="D415" s="12">
        <f>tb_Auditoria[[#This Row],[% TAXA RELATÓRIO]]*tb_Auditoria[[#This Row],[VALOR CRÉDITO]]</f>
        <v>620.89831720000006</v>
      </c>
      <c r="E415" s="13">
        <v>46129</v>
      </c>
      <c r="F415" s="13" t="s">
        <v>16</v>
      </c>
      <c r="G41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1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5" s="19">
        <f>IFERROR(INDEX([1]!tb_Vendas[Crédito],MATCH(tb_Auditoria[[#This Row],[Nº CONTRATO]],[1]!tb_Vendas[Nº Contrato],0)),0)</f>
        <v>305861.24</v>
      </c>
      <c r="K415" s="21">
        <f>IFERROR(tb_Auditoria[[#This Row],[VALOR ESPERADO]] / tb_Auditoria[[#This Row],[VALOR CRÉDITO]], 0)</f>
        <v>0</v>
      </c>
      <c r="L415" s="19" t="e">
        <f>SUMIFS([1]!Motor_Comissão[Valor Previsto],[1]!Motor_Comissão[Chave], tb_Auditoria[[#This Row],[Nº CONTRATO]]&amp;"-"&amp;tb_Auditoria[[#This Row],[PARCELA ATUAL]])</f>
        <v>#REF!</v>
      </c>
      <c r="M415" s="19" t="e">
        <f>tb_Auditoria[[#This Row],[VALOR PAGO]] - tb_Auditoria[[#This Row],[VALOR ESPERADO]]</f>
        <v>#REF!</v>
      </c>
      <c r="N4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6" spans="1:15">
      <c r="A416" s="9">
        <v>1151511</v>
      </c>
      <c r="B416" s="10">
        <v>8</v>
      </c>
      <c r="C416" s="28">
        <v>2.0300000000000001E-3</v>
      </c>
      <c r="D416" s="12">
        <f>tb_Auditoria[[#This Row],[% TAXA RELATÓRIO]]*tb_Auditoria[[#This Row],[VALOR CRÉDITO]]</f>
        <v>588.74981619999994</v>
      </c>
      <c r="E416" s="13">
        <v>46129</v>
      </c>
      <c r="F416" s="13" t="s">
        <v>16</v>
      </c>
      <c r="G41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1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6" s="19">
        <f>IFERROR(INDEX([1]!tb_Vendas[Crédito],MATCH(tb_Auditoria[[#This Row],[Nº CONTRATO]],[1]!tb_Vendas[Nº Contrato],0)),0)</f>
        <v>290024.53999999998</v>
      </c>
      <c r="K416" s="21">
        <f>IFERROR(tb_Auditoria[[#This Row],[VALOR ESPERADO]] / tb_Auditoria[[#This Row],[VALOR CRÉDITO]], 0)</f>
        <v>0</v>
      </c>
      <c r="L416" s="19" t="e">
        <f>SUMIFS([1]!Motor_Comissão[Valor Previsto],[1]!Motor_Comissão[Chave], tb_Auditoria[[#This Row],[Nº CONTRATO]]&amp;"-"&amp;tb_Auditoria[[#This Row],[PARCELA ATUAL]])</f>
        <v>#REF!</v>
      </c>
      <c r="M416" s="19" t="e">
        <f>tb_Auditoria[[#This Row],[VALOR PAGO]] - tb_Auditoria[[#This Row],[VALOR ESPERADO]]</f>
        <v>#REF!</v>
      </c>
      <c r="N4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7" spans="1:15">
      <c r="A417" s="9">
        <v>1151512</v>
      </c>
      <c r="B417" s="10">
        <v>8</v>
      </c>
      <c r="C417" s="28">
        <v>2.0300000000000001E-3</v>
      </c>
      <c r="D417" s="12">
        <f>tb_Auditoria[[#This Row],[% TAXA RELATÓRIO]]*tb_Auditoria[[#This Row],[VALOR CRÉDITO]]</f>
        <v>588.74981619999994</v>
      </c>
      <c r="E417" s="13">
        <v>46129</v>
      </c>
      <c r="F417" s="13" t="s">
        <v>16</v>
      </c>
      <c r="G41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1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7" s="19">
        <f>IFERROR(INDEX([1]!tb_Vendas[Crédito],MATCH(tb_Auditoria[[#This Row],[Nº CONTRATO]],[1]!tb_Vendas[Nº Contrato],0)),0)</f>
        <v>290024.53999999998</v>
      </c>
      <c r="K417" s="21">
        <f>IFERROR(tb_Auditoria[[#This Row],[VALOR ESPERADO]] / tb_Auditoria[[#This Row],[VALOR CRÉDITO]], 0)</f>
        <v>0</v>
      </c>
      <c r="L417" s="19" t="e">
        <f>SUMIFS([1]!Motor_Comissão[Valor Previsto],[1]!Motor_Comissão[Chave], tb_Auditoria[[#This Row],[Nº CONTRATO]]&amp;"-"&amp;tb_Auditoria[[#This Row],[PARCELA ATUAL]])</f>
        <v>#REF!</v>
      </c>
      <c r="M417" s="19" t="e">
        <f>tb_Auditoria[[#This Row],[VALOR PAGO]] - tb_Auditoria[[#This Row],[VALOR ESPERADO]]</f>
        <v>#REF!</v>
      </c>
      <c r="N4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8" spans="1:15">
      <c r="A418" s="9">
        <v>1151514</v>
      </c>
      <c r="B418" s="10">
        <v>8</v>
      </c>
      <c r="C418" s="28">
        <v>2.0300000000000001E-3</v>
      </c>
      <c r="D418" s="12">
        <f>tb_Auditoria[[#This Row],[% TAXA RELATÓRIO]]*tb_Auditoria[[#This Row],[VALOR CRÉDITO]]</f>
        <v>1216.8159212999999</v>
      </c>
      <c r="E418" s="13">
        <v>46129</v>
      </c>
      <c r="F418" s="13" t="s">
        <v>16</v>
      </c>
      <c r="G41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1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8" s="19">
        <f>IFERROR(INDEX([1]!tb_Vendas[Crédito],MATCH(tb_Auditoria[[#This Row],[Nº CONTRATO]],[1]!tb_Vendas[Nº Contrato],0)),0)</f>
        <v>599416.71</v>
      </c>
      <c r="K418" s="21">
        <f>IFERROR(tb_Auditoria[[#This Row],[VALOR ESPERADO]] / tb_Auditoria[[#This Row],[VALOR CRÉDITO]], 0)</f>
        <v>0</v>
      </c>
      <c r="L418" s="19" t="e">
        <f>SUMIFS([1]!Motor_Comissão[Valor Previsto],[1]!Motor_Comissão[Chave], tb_Auditoria[[#This Row],[Nº CONTRATO]]&amp;"-"&amp;tb_Auditoria[[#This Row],[PARCELA ATUAL]])</f>
        <v>#REF!</v>
      </c>
      <c r="M418" s="19" t="e">
        <f>tb_Auditoria[[#This Row],[VALOR PAGO]] - tb_Auditoria[[#This Row],[VALOR ESPERADO]]</f>
        <v>#REF!</v>
      </c>
      <c r="N4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19" spans="1:15">
      <c r="A419" s="9">
        <v>1151515</v>
      </c>
      <c r="B419" s="10">
        <v>8</v>
      </c>
      <c r="C419" s="28">
        <v>2.0300000000000001E-3</v>
      </c>
      <c r="D419" s="12">
        <f>tb_Auditoria[[#This Row],[% TAXA RELATÓRIO]]*tb_Auditoria[[#This Row],[VALOR CRÉDITO]]</f>
        <v>1216.8159212999999</v>
      </c>
      <c r="E419" s="13">
        <v>46129</v>
      </c>
      <c r="F419" s="13" t="s">
        <v>16</v>
      </c>
      <c r="G41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1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1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19" s="19">
        <f>IFERROR(INDEX([1]!tb_Vendas[Crédito],MATCH(tb_Auditoria[[#This Row],[Nº CONTRATO]],[1]!tb_Vendas[Nº Contrato],0)),0)</f>
        <v>599416.71</v>
      </c>
      <c r="K419" s="21">
        <f>IFERROR(tb_Auditoria[[#This Row],[VALOR ESPERADO]] / tb_Auditoria[[#This Row],[VALOR CRÉDITO]], 0)</f>
        <v>0</v>
      </c>
      <c r="L419" s="19" t="e">
        <f>SUMIFS([1]!Motor_Comissão[Valor Previsto],[1]!Motor_Comissão[Chave], tb_Auditoria[[#This Row],[Nº CONTRATO]]&amp;"-"&amp;tb_Auditoria[[#This Row],[PARCELA ATUAL]])</f>
        <v>#REF!</v>
      </c>
      <c r="M419" s="19" t="e">
        <f>tb_Auditoria[[#This Row],[VALOR PAGO]] - tb_Auditoria[[#This Row],[VALOR ESPERADO]]</f>
        <v>#REF!</v>
      </c>
      <c r="N4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0" spans="1:15">
      <c r="A420" s="9">
        <v>1151516</v>
      </c>
      <c r="B420" s="10">
        <v>8</v>
      </c>
      <c r="C420" s="28">
        <v>2.0300000000000001E-3</v>
      </c>
      <c r="D420" s="12">
        <f>tb_Auditoria[[#This Row],[% TAXA RELATÓRIO]]*tb_Auditoria[[#This Row],[VALOR CRÉDITO]]</f>
        <v>1216.8159212999999</v>
      </c>
      <c r="E420" s="13">
        <v>46129</v>
      </c>
      <c r="F420" s="13" t="s">
        <v>16</v>
      </c>
      <c r="G42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2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0" s="19">
        <f>IFERROR(INDEX([1]!tb_Vendas[Crédito],MATCH(tb_Auditoria[[#This Row],[Nº CONTRATO]],[1]!tb_Vendas[Nº Contrato],0)),0)</f>
        <v>599416.71</v>
      </c>
      <c r="K420" s="21">
        <f>IFERROR(tb_Auditoria[[#This Row],[VALOR ESPERADO]] / tb_Auditoria[[#This Row],[VALOR CRÉDITO]], 0)</f>
        <v>0</v>
      </c>
      <c r="L420" s="19" t="e">
        <f>SUMIFS([1]!Motor_Comissão[Valor Previsto],[1]!Motor_Comissão[Chave], tb_Auditoria[[#This Row],[Nº CONTRATO]]&amp;"-"&amp;tb_Auditoria[[#This Row],[PARCELA ATUAL]])</f>
        <v>#REF!</v>
      </c>
      <c r="M420" s="19" t="e">
        <f>tb_Auditoria[[#This Row],[VALOR PAGO]] - tb_Auditoria[[#This Row],[VALOR ESPERADO]]</f>
        <v>#REF!</v>
      </c>
      <c r="N4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1" spans="1:15">
      <c r="A421" s="9">
        <v>1151517</v>
      </c>
      <c r="B421" s="10">
        <v>8</v>
      </c>
      <c r="C421" s="28">
        <v>2.0300000000000001E-3</v>
      </c>
      <c r="D421" s="12">
        <f>tb_Auditoria[[#This Row],[% TAXA RELATÓRIO]]*tb_Auditoria[[#This Row],[VALOR CRÉDITO]]</f>
        <v>1216.8159212999999</v>
      </c>
      <c r="E421" s="13">
        <v>46129</v>
      </c>
      <c r="F421" s="13" t="s">
        <v>16</v>
      </c>
      <c r="G42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2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1" s="19">
        <f>IFERROR(INDEX([1]!tb_Vendas[Crédito],MATCH(tb_Auditoria[[#This Row],[Nº CONTRATO]],[1]!tb_Vendas[Nº Contrato],0)),0)</f>
        <v>599416.71</v>
      </c>
      <c r="K421" s="21">
        <f>IFERROR(tb_Auditoria[[#This Row],[VALOR ESPERADO]] / tb_Auditoria[[#This Row],[VALOR CRÉDITO]], 0)</f>
        <v>0</v>
      </c>
      <c r="L421" s="19" t="e">
        <f>SUMIFS([1]!Motor_Comissão[Valor Previsto],[1]!Motor_Comissão[Chave], tb_Auditoria[[#This Row],[Nº CONTRATO]]&amp;"-"&amp;tb_Auditoria[[#This Row],[PARCELA ATUAL]])</f>
        <v>#REF!</v>
      </c>
      <c r="M421" s="19" t="e">
        <f>tb_Auditoria[[#This Row],[VALOR PAGO]] - tb_Auditoria[[#This Row],[VALOR ESPERADO]]</f>
        <v>#REF!</v>
      </c>
      <c r="N4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2" spans="1:15">
      <c r="A422" s="9">
        <v>1151518</v>
      </c>
      <c r="B422" s="10">
        <v>8</v>
      </c>
      <c r="C422" s="28">
        <v>2.0300000000000001E-3</v>
      </c>
      <c r="D422" s="12">
        <f>tb_Auditoria[[#This Row],[% TAXA RELATÓRIO]]*tb_Auditoria[[#This Row],[VALOR CRÉDITO]]</f>
        <v>1216.8159212999999</v>
      </c>
      <c r="E422" s="13">
        <v>46129</v>
      </c>
      <c r="F422" s="13" t="s">
        <v>16</v>
      </c>
      <c r="G42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2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2" s="19">
        <f>IFERROR(INDEX([1]!tb_Vendas[Crédito],MATCH(tb_Auditoria[[#This Row],[Nº CONTRATO]],[1]!tb_Vendas[Nº Contrato],0)),0)</f>
        <v>599416.71</v>
      </c>
      <c r="K422" s="21">
        <f>IFERROR(tb_Auditoria[[#This Row],[VALOR ESPERADO]] / tb_Auditoria[[#This Row],[VALOR CRÉDITO]], 0)</f>
        <v>0</v>
      </c>
      <c r="L422" s="19" t="e">
        <f>SUMIFS([1]!Motor_Comissão[Valor Previsto],[1]!Motor_Comissão[Chave], tb_Auditoria[[#This Row],[Nº CONTRATO]]&amp;"-"&amp;tb_Auditoria[[#This Row],[PARCELA ATUAL]])</f>
        <v>#REF!</v>
      </c>
      <c r="M422" s="19" t="e">
        <f>tb_Auditoria[[#This Row],[VALOR PAGO]] - tb_Auditoria[[#This Row],[VALOR ESPERADO]]</f>
        <v>#REF!</v>
      </c>
      <c r="N4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3" spans="1:15">
      <c r="A423" s="9">
        <v>1151519</v>
      </c>
      <c r="B423" s="10">
        <v>8</v>
      </c>
      <c r="C423" s="28">
        <v>2.0300000000000001E-3</v>
      </c>
      <c r="D423" s="12">
        <f>tb_Auditoria[[#This Row],[% TAXA RELATÓRIO]]*tb_Auditoria[[#This Row],[VALOR CRÉDITO]]</f>
        <v>1216.8159212999999</v>
      </c>
      <c r="E423" s="13">
        <v>46129</v>
      </c>
      <c r="F423" s="13" t="s">
        <v>16</v>
      </c>
      <c r="G42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2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3" s="19">
        <f>IFERROR(INDEX([1]!tb_Vendas[Crédito],MATCH(tb_Auditoria[[#This Row],[Nº CONTRATO]],[1]!tb_Vendas[Nº Contrato],0)),0)</f>
        <v>599416.71</v>
      </c>
      <c r="K423" s="21">
        <f>IFERROR(tb_Auditoria[[#This Row],[VALOR ESPERADO]] / tb_Auditoria[[#This Row],[VALOR CRÉDITO]], 0)</f>
        <v>0</v>
      </c>
      <c r="L423" s="19" t="e">
        <f>SUMIFS([1]!Motor_Comissão[Valor Previsto],[1]!Motor_Comissão[Chave], tb_Auditoria[[#This Row],[Nº CONTRATO]]&amp;"-"&amp;tb_Auditoria[[#This Row],[PARCELA ATUAL]])</f>
        <v>#REF!</v>
      </c>
      <c r="M423" s="19" t="e">
        <f>tb_Auditoria[[#This Row],[VALOR PAGO]] - tb_Auditoria[[#This Row],[VALOR ESPERADO]]</f>
        <v>#REF!</v>
      </c>
      <c r="N4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4" spans="1:15">
      <c r="A424" s="9">
        <v>1151520</v>
      </c>
      <c r="B424" s="10">
        <v>8</v>
      </c>
      <c r="C424" s="28">
        <v>2.0300000000000001E-3</v>
      </c>
      <c r="D424" s="12">
        <f>tb_Auditoria[[#This Row],[% TAXA RELATÓRIO]]*tb_Auditoria[[#This Row],[VALOR CRÉDITO]]</f>
        <v>1216.8159212999999</v>
      </c>
      <c r="E424" s="13">
        <v>46129</v>
      </c>
      <c r="F424" s="13" t="s">
        <v>16</v>
      </c>
      <c r="G42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2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4" s="19">
        <f>IFERROR(INDEX([1]!tb_Vendas[Crédito],MATCH(tb_Auditoria[[#This Row],[Nº CONTRATO]],[1]!tb_Vendas[Nº Contrato],0)),0)</f>
        <v>599416.71</v>
      </c>
      <c r="K424" s="21">
        <f>IFERROR(tb_Auditoria[[#This Row],[VALOR ESPERADO]] / tb_Auditoria[[#This Row],[VALOR CRÉDITO]], 0)</f>
        <v>0</v>
      </c>
      <c r="L424" s="19" t="e">
        <f>SUMIFS([1]!Motor_Comissão[Valor Previsto],[1]!Motor_Comissão[Chave], tb_Auditoria[[#This Row],[Nº CONTRATO]]&amp;"-"&amp;tb_Auditoria[[#This Row],[PARCELA ATUAL]])</f>
        <v>#REF!</v>
      </c>
      <c r="M424" s="19" t="e">
        <f>tb_Auditoria[[#This Row],[VALOR PAGO]] - tb_Auditoria[[#This Row],[VALOR ESPERADO]]</f>
        <v>#REF!</v>
      </c>
      <c r="N4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5" spans="1:15">
      <c r="A425" s="9">
        <v>1151521</v>
      </c>
      <c r="B425" s="10">
        <v>8</v>
      </c>
      <c r="C425" s="28">
        <v>2.0300000000000001E-3</v>
      </c>
      <c r="D425" s="12">
        <f>tb_Auditoria[[#This Row],[% TAXA RELATÓRIO]]*tb_Auditoria[[#This Row],[VALOR CRÉDITO]]</f>
        <v>1216.8159212999999</v>
      </c>
      <c r="E425" s="13">
        <v>46129</v>
      </c>
      <c r="F425" s="13" t="s">
        <v>16</v>
      </c>
      <c r="G42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2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5" s="19">
        <f>IFERROR(INDEX([1]!tb_Vendas[Crédito],MATCH(tb_Auditoria[[#This Row],[Nº CONTRATO]],[1]!tb_Vendas[Nº Contrato],0)),0)</f>
        <v>599416.71</v>
      </c>
      <c r="K425" s="21">
        <f>IFERROR(tb_Auditoria[[#This Row],[VALOR ESPERADO]] / tb_Auditoria[[#This Row],[VALOR CRÉDITO]], 0)</f>
        <v>0</v>
      </c>
      <c r="L425" s="19" t="e">
        <f>SUMIFS([1]!Motor_Comissão[Valor Previsto],[1]!Motor_Comissão[Chave], tb_Auditoria[[#This Row],[Nº CONTRATO]]&amp;"-"&amp;tb_Auditoria[[#This Row],[PARCELA ATUAL]])</f>
        <v>#REF!</v>
      </c>
      <c r="M425" s="19" t="e">
        <f>tb_Auditoria[[#This Row],[VALOR PAGO]] - tb_Auditoria[[#This Row],[VALOR ESPERADO]]</f>
        <v>#REF!</v>
      </c>
      <c r="N4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6" spans="1:15">
      <c r="A426" s="9">
        <v>1151522</v>
      </c>
      <c r="B426" s="10">
        <v>8</v>
      </c>
      <c r="C426" s="28">
        <v>2.0300000000000001E-3</v>
      </c>
      <c r="D426" s="12">
        <f>tb_Auditoria[[#This Row],[% TAXA RELATÓRIO]]*tb_Auditoria[[#This Row],[VALOR CRÉDITO]]</f>
        <v>1216.8159212999999</v>
      </c>
      <c r="E426" s="13">
        <v>46129</v>
      </c>
      <c r="F426" s="13" t="s">
        <v>16</v>
      </c>
      <c r="G42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2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6" s="19">
        <f>IFERROR(INDEX([1]!tb_Vendas[Crédito],MATCH(tb_Auditoria[[#This Row],[Nº CONTRATO]],[1]!tb_Vendas[Nº Contrato],0)),0)</f>
        <v>599416.71</v>
      </c>
      <c r="K426" s="21">
        <f>IFERROR(tb_Auditoria[[#This Row],[VALOR ESPERADO]] / tb_Auditoria[[#This Row],[VALOR CRÉDITO]], 0)</f>
        <v>0</v>
      </c>
      <c r="L426" s="19" t="e">
        <f>SUMIFS([1]!Motor_Comissão[Valor Previsto],[1]!Motor_Comissão[Chave], tb_Auditoria[[#This Row],[Nº CONTRATO]]&amp;"-"&amp;tb_Auditoria[[#This Row],[PARCELA ATUAL]])</f>
        <v>#REF!</v>
      </c>
      <c r="M426" s="19" t="e">
        <f>tb_Auditoria[[#This Row],[VALOR PAGO]] - tb_Auditoria[[#This Row],[VALOR ESPERADO]]</f>
        <v>#REF!</v>
      </c>
      <c r="N4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7" spans="1:15">
      <c r="A427" s="9">
        <v>1151523</v>
      </c>
      <c r="B427" s="10">
        <v>8</v>
      </c>
      <c r="C427" s="28">
        <v>2.2620000000000001E-3</v>
      </c>
      <c r="D427" s="12">
        <f>tb_Auditoria[[#This Row],[% TAXA RELATÓRIO]]*tb_Auditoria[[#This Row],[VALOR CRÉDITO]]</f>
        <v>1010.3969686200001</v>
      </c>
      <c r="E427" s="13">
        <v>46129</v>
      </c>
      <c r="F427" s="13" t="s">
        <v>16</v>
      </c>
      <c r="G42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2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7" s="19">
        <f>IFERROR(INDEX([1]!tb_Vendas[Crédito],MATCH(tb_Auditoria[[#This Row],[Nº CONTRATO]],[1]!tb_Vendas[Nº Contrato],0)),0)</f>
        <v>446683.01</v>
      </c>
      <c r="K427" s="21">
        <f>IFERROR(tb_Auditoria[[#This Row],[VALOR ESPERADO]] / tb_Auditoria[[#This Row],[VALOR CRÉDITO]], 0)</f>
        <v>0</v>
      </c>
      <c r="L427" s="19" t="e">
        <f>SUMIFS([1]!Motor_Comissão[Valor Previsto],[1]!Motor_Comissão[Chave], tb_Auditoria[[#This Row],[Nº CONTRATO]]&amp;"-"&amp;tb_Auditoria[[#This Row],[PARCELA ATUAL]])</f>
        <v>#REF!</v>
      </c>
      <c r="M427" s="19" t="e">
        <f>tb_Auditoria[[#This Row],[VALOR PAGO]] - tb_Auditoria[[#This Row],[VALOR ESPERADO]]</f>
        <v>#REF!</v>
      </c>
      <c r="N4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8" spans="1:15">
      <c r="A428" s="9">
        <v>1151525</v>
      </c>
      <c r="B428" s="10">
        <v>8</v>
      </c>
      <c r="C428" s="28">
        <v>2.2620000000000001E-3</v>
      </c>
      <c r="D428" s="12">
        <f>tb_Auditoria[[#This Row],[% TAXA RELATÓRIO]]*tb_Auditoria[[#This Row],[VALOR CRÉDITO]]</f>
        <v>1010.3969686200001</v>
      </c>
      <c r="E428" s="13">
        <v>46129</v>
      </c>
      <c r="F428" s="13" t="s">
        <v>16</v>
      </c>
      <c r="G42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2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8" s="19">
        <f>IFERROR(INDEX([1]!tb_Vendas[Crédito],MATCH(tb_Auditoria[[#This Row],[Nº CONTRATO]],[1]!tb_Vendas[Nº Contrato],0)),0)</f>
        <v>446683.01</v>
      </c>
      <c r="K428" s="21">
        <f>IFERROR(tb_Auditoria[[#This Row],[VALOR ESPERADO]] / tb_Auditoria[[#This Row],[VALOR CRÉDITO]], 0)</f>
        <v>0</v>
      </c>
      <c r="L428" s="19" t="e">
        <f>SUMIFS([1]!Motor_Comissão[Valor Previsto],[1]!Motor_Comissão[Chave], tb_Auditoria[[#This Row],[Nº CONTRATO]]&amp;"-"&amp;tb_Auditoria[[#This Row],[PARCELA ATUAL]])</f>
        <v>#REF!</v>
      </c>
      <c r="M428" s="19" t="e">
        <f>tb_Auditoria[[#This Row],[VALOR PAGO]] - tb_Auditoria[[#This Row],[VALOR ESPERADO]]</f>
        <v>#REF!</v>
      </c>
      <c r="N4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29" spans="1:15">
      <c r="A429" s="9">
        <v>1151526</v>
      </c>
      <c r="B429" s="10">
        <v>8</v>
      </c>
      <c r="C429" s="28">
        <v>2.32E-3</v>
      </c>
      <c r="D429" s="12">
        <f>tb_Auditoria[[#This Row],[% TAXA RELATÓRIO]]*tb_Auditoria[[#This Row],[VALOR CRÉDITO]]</f>
        <v>928</v>
      </c>
      <c r="E429" s="13">
        <v>46129</v>
      </c>
      <c r="F429" s="13" t="s">
        <v>16</v>
      </c>
      <c r="G42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2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2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29" s="19">
        <f>IFERROR(INDEX([1]!tb_Vendas[Crédito],MATCH(tb_Auditoria[[#This Row],[Nº CONTRATO]],[1]!tb_Vendas[Nº Contrato],0)),0)</f>
        <v>400000</v>
      </c>
      <c r="K429" s="21">
        <f>IFERROR(tb_Auditoria[[#This Row],[VALOR ESPERADO]] / tb_Auditoria[[#This Row],[VALOR CRÉDITO]], 0)</f>
        <v>0</v>
      </c>
      <c r="L429" s="19" t="e">
        <f>SUMIFS([1]!Motor_Comissão[Valor Previsto],[1]!Motor_Comissão[Chave], tb_Auditoria[[#This Row],[Nº CONTRATO]]&amp;"-"&amp;tb_Auditoria[[#This Row],[PARCELA ATUAL]])</f>
        <v>#REF!</v>
      </c>
      <c r="M429" s="19" t="e">
        <f>tb_Auditoria[[#This Row],[VALOR PAGO]] - tb_Auditoria[[#This Row],[VALOR ESPERADO]]</f>
        <v>#REF!</v>
      </c>
      <c r="N4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0" spans="1:15">
      <c r="A430" s="9">
        <v>1151527</v>
      </c>
      <c r="B430" s="10">
        <v>8</v>
      </c>
      <c r="C430" s="28">
        <v>2.32E-3</v>
      </c>
      <c r="D430" s="12">
        <f>tb_Auditoria[[#This Row],[% TAXA RELATÓRIO]]*tb_Auditoria[[#This Row],[VALOR CRÉDITO]]</f>
        <v>928</v>
      </c>
      <c r="E430" s="13">
        <v>46129</v>
      </c>
      <c r="F430" s="13" t="s">
        <v>16</v>
      </c>
      <c r="G43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3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0" s="19">
        <f>IFERROR(INDEX([1]!tb_Vendas[Crédito],MATCH(tb_Auditoria[[#This Row],[Nº CONTRATO]],[1]!tb_Vendas[Nº Contrato],0)),0)</f>
        <v>400000</v>
      </c>
      <c r="K430" s="21">
        <f>IFERROR(tb_Auditoria[[#This Row],[VALOR ESPERADO]] / tb_Auditoria[[#This Row],[VALOR CRÉDITO]], 0)</f>
        <v>0</v>
      </c>
      <c r="L430" s="19" t="e">
        <f>SUMIFS([1]!Motor_Comissão[Valor Previsto],[1]!Motor_Comissão[Chave], tb_Auditoria[[#This Row],[Nº CONTRATO]]&amp;"-"&amp;tb_Auditoria[[#This Row],[PARCELA ATUAL]])</f>
        <v>#REF!</v>
      </c>
      <c r="M430" s="19" t="e">
        <f>tb_Auditoria[[#This Row],[VALOR PAGO]] - tb_Auditoria[[#This Row],[VALOR ESPERADO]]</f>
        <v>#REF!</v>
      </c>
      <c r="N4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1" spans="1:15">
      <c r="A431" s="9">
        <v>1151528</v>
      </c>
      <c r="B431" s="10">
        <v>8</v>
      </c>
      <c r="C431" s="28">
        <v>2.32E-3</v>
      </c>
      <c r="D431" s="12">
        <f>tb_Auditoria[[#This Row],[% TAXA RELATÓRIO]]*tb_Auditoria[[#This Row],[VALOR CRÉDITO]]</f>
        <v>928</v>
      </c>
      <c r="E431" s="13">
        <v>46129</v>
      </c>
      <c r="F431" s="13" t="s">
        <v>16</v>
      </c>
      <c r="G43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3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1" s="19">
        <f>IFERROR(INDEX([1]!tb_Vendas[Crédito],MATCH(tb_Auditoria[[#This Row],[Nº CONTRATO]],[1]!tb_Vendas[Nº Contrato],0)),0)</f>
        <v>400000</v>
      </c>
      <c r="K431" s="21">
        <f>IFERROR(tb_Auditoria[[#This Row],[VALOR ESPERADO]] / tb_Auditoria[[#This Row],[VALOR CRÉDITO]], 0)</f>
        <v>0</v>
      </c>
      <c r="L431" s="19" t="e">
        <f>SUMIFS([1]!Motor_Comissão[Valor Previsto],[1]!Motor_Comissão[Chave], tb_Auditoria[[#This Row],[Nº CONTRATO]]&amp;"-"&amp;tb_Auditoria[[#This Row],[PARCELA ATUAL]])</f>
        <v>#REF!</v>
      </c>
      <c r="M431" s="19" t="e">
        <f>tb_Auditoria[[#This Row],[VALOR PAGO]] - tb_Auditoria[[#This Row],[VALOR ESPERADO]]</f>
        <v>#REF!</v>
      </c>
      <c r="N4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2" spans="1:15">
      <c r="A432" s="9">
        <v>1151529</v>
      </c>
      <c r="B432" s="10">
        <v>8</v>
      </c>
      <c r="C432" s="28">
        <v>2.32E-3</v>
      </c>
      <c r="D432" s="12">
        <f>tb_Auditoria[[#This Row],[% TAXA RELATÓRIO]]*tb_Auditoria[[#This Row],[VALOR CRÉDITO]]</f>
        <v>928</v>
      </c>
      <c r="E432" s="13">
        <v>46129</v>
      </c>
      <c r="F432" s="13" t="s">
        <v>16</v>
      </c>
      <c r="G43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3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2" s="19">
        <f>IFERROR(INDEX([1]!tb_Vendas[Crédito],MATCH(tb_Auditoria[[#This Row],[Nº CONTRATO]],[1]!tb_Vendas[Nº Contrato],0)),0)</f>
        <v>400000</v>
      </c>
      <c r="K432" s="21">
        <f>IFERROR(tb_Auditoria[[#This Row],[VALOR ESPERADO]] / tb_Auditoria[[#This Row],[VALOR CRÉDITO]], 0)</f>
        <v>0</v>
      </c>
      <c r="L432" s="19" t="e">
        <f>SUMIFS([1]!Motor_Comissão[Valor Previsto],[1]!Motor_Comissão[Chave], tb_Auditoria[[#This Row],[Nº CONTRATO]]&amp;"-"&amp;tb_Auditoria[[#This Row],[PARCELA ATUAL]])</f>
        <v>#REF!</v>
      </c>
      <c r="M432" s="19" t="e">
        <f>tb_Auditoria[[#This Row],[VALOR PAGO]] - tb_Auditoria[[#This Row],[VALOR ESPERADO]]</f>
        <v>#REF!</v>
      </c>
      <c r="N4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3" spans="1:15">
      <c r="A433" s="9">
        <v>1151530</v>
      </c>
      <c r="B433" s="10">
        <v>8</v>
      </c>
      <c r="C433" s="28">
        <v>2.32E-3</v>
      </c>
      <c r="D433" s="12">
        <f>tb_Auditoria[[#This Row],[% TAXA RELATÓRIO]]*tb_Auditoria[[#This Row],[VALOR CRÉDITO]]</f>
        <v>928</v>
      </c>
      <c r="E433" s="13">
        <v>46129</v>
      </c>
      <c r="F433" s="13" t="s">
        <v>16</v>
      </c>
      <c r="G43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3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3" s="19">
        <f>IFERROR(INDEX([1]!tb_Vendas[Crédito],MATCH(tb_Auditoria[[#This Row],[Nº CONTRATO]],[1]!tb_Vendas[Nº Contrato],0)),0)</f>
        <v>400000</v>
      </c>
      <c r="K433" s="21">
        <f>IFERROR(tb_Auditoria[[#This Row],[VALOR ESPERADO]] / tb_Auditoria[[#This Row],[VALOR CRÉDITO]], 0)</f>
        <v>0</v>
      </c>
      <c r="L433" s="19" t="e">
        <f>SUMIFS([1]!Motor_Comissão[Valor Previsto],[1]!Motor_Comissão[Chave], tb_Auditoria[[#This Row],[Nº CONTRATO]]&amp;"-"&amp;tb_Auditoria[[#This Row],[PARCELA ATUAL]])</f>
        <v>#REF!</v>
      </c>
      <c r="M433" s="19" t="e">
        <f>tb_Auditoria[[#This Row],[VALOR PAGO]] - tb_Auditoria[[#This Row],[VALOR ESPERADO]]</f>
        <v>#REF!</v>
      </c>
      <c r="N4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4" spans="1:15">
      <c r="A434" s="9">
        <v>1151532</v>
      </c>
      <c r="B434" s="10">
        <v>8</v>
      </c>
      <c r="C434" s="28">
        <v>1.72E-3</v>
      </c>
      <c r="D434" s="12">
        <f>tb_Auditoria[[#This Row],[% TAXA RELATÓRIO]]*tb_Auditoria[[#This Row],[VALOR CRÉDITO]]</f>
        <v>731</v>
      </c>
      <c r="E434" s="13">
        <v>46129</v>
      </c>
      <c r="F434" s="13" t="s">
        <v>16</v>
      </c>
      <c r="G43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3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4" s="19">
        <f>IFERROR(INDEX([1]!tb_Vendas[Crédito],MATCH(tb_Auditoria[[#This Row],[Nº CONTRATO]],[1]!tb_Vendas[Nº Contrato],0)),0)</f>
        <v>425000</v>
      </c>
      <c r="K434" s="21">
        <f>IFERROR(tb_Auditoria[[#This Row],[VALOR ESPERADO]] / tb_Auditoria[[#This Row],[VALOR CRÉDITO]], 0)</f>
        <v>0</v>
      </c>
      <c r="L434" s="19" t="e">
        <f>SUMIFS([1]!Motor_Comissão[Valor Previsto],[1]!Motor_Comissão[Chave], tb_Auditoria[[#This Row],[Nº CONTRATO]]&amp;"-"&amp;tb_Auditoria[[#This Row],[PARCELA ATUAL]])</f>
        <v>#REF!</v>
      </c>
      <c r="M434" s="19" t="e">
        <f>tb_Auditoria[[#This Row],[VALOR PAGO]] - tb_Auditoria[[#This Row],[VALOR ESPERADO]]</f>
        <v>#REF!</v>
      </c>
      <c r="N4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5" spans="1:15">
      <c r="A435" s="9">
        <v>1151535</v>
      </c>
      <c r="B435" s="10">
        <v>8</v>
      </c>
      <c r="C435" s="28">
        <v>1.5479999999999999E-3</v>
      </c>
      <c r="D435" s="12">
        <f>tb_Auditoria[[#This Row],[% TAXA RELATÓRIO]]*tb_Auditoria[[#This Row],[VALOR CRÉDITO]]</f>
        <v>619.19999999999993</v>
      </c>
      <c r="E435" s="13">
        <v>46129</v>
      </c>
      <c r="F435" s="13" t="s">
        <v>16</v>
      </c>
      <c r="G43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3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5" s="19">
        <f>IFERROR(INDEX([1]!tb_Vendas[Crédito],MATCH(tb_Auditoria[[#This Row],[Nº CONTRATO]],[1]!tb_Vendas[Nº Contrato],0)),0)</f>
        <v>400000</v>
      </c>
      <c r="K435" s="21">
        <f>IFERROR(tb_Auditoria[[#This Row],[VALOR ESPERADO]] / tb_Auditoria[[#This Row],[VALOR CRÉDITO]], 0)</f>
        <v>0</v>
      </c>
      <c r="L435" s="19" t="e">
        <f>SUMIFS([1]!Motor_Comissão[Valor Previsto],[1]!Motor_Comissão[Chave], tb_Auditoria[[#This Row],[Nº CONTRATO]]&amp;"-"&amp;tb_Auditoria[[#This Row],[PARCELA ATUAL]])</f>
        <v>#REF!</v>
      </c>
      <c r="M435" s="19" t="e">
        <f>tb_Auditoria[[#This Row],[VALOR PAGO]] - tb_Auditoria[[#This Row],[VALOR ESPERADO]]</f>
        <v>#REF!</v>
      </c>
      <c r="N4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6" spans="1:15">
      <c r="A436" s="9">
        <v>1151536</v>
      </c>
      <c r="B436" s="10">
        <v>8</v>
      </c>
      <c r="C436" s="28">
        <v>1.5479999999999999E-3</v>
      </c>
      <c r="D436" s="12">
        <f>tb_Auditoria[[#This Row],[% TAXA RELATÓRIO]]*tb_Auditoria[[#This Row],[VALOR CRÉDITO]]</f>
        <v>619.19999999999993</v>
      </c>
      <c r="E436" s="13">
        <v>46129</v>
      </c>
      <c r="F436" s="13" t="s">
        <v>16</v>
      </c>
      <c r="G43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3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6" s="19">
        <f>IFERROR(INDEX([1]!tb_Vendas[Crédito],MATCH(tb_Auditoria[[#This Row],[Nº CONTRATO]],[1]!tb_Vendas[Nº Contrato],0)),0)</f>
        <v>400000</v>
      </c>
      <c r="K436" s="21">
        <f>IFERROR(tb_Auditoria[[#This Row],[VALOR ESPERADO]] / tb_Auditoria[[#This Row],[VALOR CRÉDITO]], 0)</f>
        <v>0</v>
      </c>
      <c r="L436" s="19" t="e">
        <f>SUMIFS([1]!Motor_Comissão[Valor Previsto],[1]!Motor_Comissão[Chave], tb_Auditoria[[#This Row],[Nº CONTRATO]]&amp;"-"&amp;tb_Auditoria[[#This Row],[PARCELA ATUAL]])</f>
        <v>#REF!</v>
      </c>
      <c r="M436" s="19" t="e">
        <f>tb_Auditoria[[#This Row],[VALOR PAGO]] - tb_Auditoria[[#This Row],[VALOR ESPERADO]]</f>
        <v>#REF!</v>
      </c>
      <c r="N4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7" spans="1:15">
      <c r="A437" s="9">
        <v>1151537</v>
      </c>
      <c r="B437" s="10">
        <v>8</v>
      </c>
      <c r="C437" s="28">
        <v>2.2039999999999998E-3</v>
      </c>
      <c r="D437" s="12">
        <f>tb_Auditoria[[#This Row],[% TAXA RELATÓRIO]]*tb_Auditoria[[#This Row],[VALOR CRÉDITO]]</f>
        <v>661.19999999999993</v>
      </c>
      <c r="E437" s="13">
        <v>46129</v>
      </c>
      <c r="F437" s="13" t="s">
        <v>16</v>
      </c>
      <c r="G43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3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7" s="19">
        <f>IFERROR(INDEX([1]!tb_Vendas[Crédito],MATCH(tb_Auditoria[[#This Row],[Nº CONTRATO]],[1]!tb_Vendas[Nº Contrato],0)),0)</f>
        <v>300000</v>
      </c>
      <c r="K437" s="21">
        <f>IFERROR(tb_Auditoria[[#This Row],[VALOR ESPERADO]] / tb_Auditoria[[#This Row],[VALOR CRÉDITO]], 0)</f>
        <v>0</v>
      </c>
      <c r="L437" s="19" t="e">
        <f>SUMIFS([1]!Motor_Comissão[Valor Previsto],[1]!Motor_Comissão[Chave], tb_Auditoria[[#This Row],[Nº CONTRATO]]&amp;"-"&amp;tb_Auditoria[[#This Row],[PARCELA ATUAL]])</f>
        <v>#REF!</v>
      </c>
      <c r="M437" s="19" t="e">
        <f>tb_Auditoria[[#This Row],[VALOR PAGO]] - tb_Auditoria[[#This Row],[VALOR ESPERADO]]</f>
        <v>#REF!</v>
      </c>
      <c r="N4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8" spans="1:15">
      <c r="A438" s="9">
        <v>1151539</v>
      </c>
      <c r="B438" s="10">
        <v>8</v>
      </c>
      <c r="C438" s="28">
        <v>2.2039999999999998E-3</v>
      </c>
      <c r="D438" s="12">
        <f>tb_Auditoria[[#This Row],[% TAXA RELATÓRIO]]*tb_Auditoria[[#This Row],[VALOR CRÉDITO]]</f>
        <v>705.28</v>
      </c>
      <c r="E438" s="13">
        <v>46129</v>
      </c>
      <c r="F438" s="13" t="s">
        <v>16</v>
      </c>
      <c r="G43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3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8" s="19">
        <f>IFERROR(INDEX([1]!tb_Vendas[Crédito],MATCH(tb_Auditoria[[#This Row],[Nº CONTRATO]],[1]!tb_Vendas[Nº Contrato],0)),0)</f>
        <v>320000</v>
      </c>
      <c r="K438" s="21">
        <f>IFERROR(tb_Auditoria[[#This Row],[VALOR ESPERADO]] / tb_Auditoria[[#This Row],[VALOR CRÉDITO]], 0)</f>
        <v>0</v>
      </c>
      <c r="L438" s="19" t="e">
        <f>SUMIFS([1]!Motor_Comissão[Valor Previsto],[1]!Motor_Comissão[Chave], tb_Auditoria[[#This Row],[Nº CONTRATO]]&amp;"-"&amp;tb_Auditoria[[#This Row],[PARCELA ATUAL]])</f>
        <v>#REF!</v>
      </c>
      <c r="M438" s="19" t="e">
        <f>tb_Auditoria[[#This Row],[VALOR PAGO]] - tb_Auditoria[[#This Row],[VALOR ESPERADO]]</f>
        <v>#REF!</v>
      </c>
      <c r="N4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39" spans="1:15">
      <c r="A439" s="9">
        <v>1151501</v>
      </c>
      <c r="B439" s="10">
        <v>9</v>
      </c>
      <c r="C439" s="28">
        <v>2.1459999999999999E-3</v>
      </c>
      <c r="D439" s="12">
        <f>tb_Auditoria[[#This Row],[% TAXA RELATÓRIO]]*tb_Auditoria[[#This Row],[VALOR CRÉDITO]]</f>
        <v>612.6643297999999</v>
      </c>
      <c r="E439" s="13">
        <v>46161</v>
      </c>
      <c r="F439" s="13" t="s">
        <v>16</v>
      </c>
      <c r="G43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3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3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39" s="19">
        <f>IFERROR(INDEX([1]!tb_Vendas[Crédito],MATCH(tb_Auditoria[[#This Row],[Nº CONTRATO]],[1]!tb_Vendas[Nº Contrato],0)),0)</f>
        <v>285491.3</v>
      </c>
      <c r="K439" s="21">
        <f>IFERROR(tb_Auditoria[[#This Row],[VALOR ESPERADO]] / tb_Auditoria[[#This Row],[VALOR CRÉDITO]], 0)</f>
        <v>0</v>
      </c>
      <c r="L439" s="19" t="e">
        <f>SUMIFS([1]!Motor_Comissão[Valor Previsto],[1]!Motor_Comissão[Chave], tb_Auditoria[[#This Row],[Nº CONTRATO]]&amp;"-"&amp;tb_Auditoria[[#This Row],[PARCELA ATUAL]])</f>
        <v>#REF!</v>
      </c>
      <c r="M439" s="19" t="e">
        <f>tb_Auditoria[[#This Row],[VALOR PAGO]] - tb_Auditoria[[#This Row],[VALOR ESPERADO]]</f>
        <v>#REF!</v>
      </c>
      <c r="N4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0" spans="1:15">
      <c r="A440" s="9">
        <v>1151503</v>
      </c>
      <c r="B440" s="10">
        <v>9</v>
      </c>
      <c r="C440" s="28">
        <v>2.1459999999999999E-3</v>
      </c>
      <c r="D440" s="12">
        <f>tb_Auditoria[[#This Row],[% TAXA RELATÓRIO]]*tb_Auditoria[[#This Row],[VALOR CRÉDITO]]</f>
        <v>612.6643297999999</v>
      </c>
      <c r="E440" s="13">
        <v>46161</v>
      </c>
      <c r="F440" s="13" t="s">
        <v>16</v>
      </c>
      <c r="G44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4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0" s="19">
        <f>IFERROR(INDEX([1]!tb_Vendas[Crédito],MATCH(tb_Auditoria[[#This Row],[Nº CONTRATO]],[1]!tb_Vendas[Nº Contrato],0)),0)</f>
        <v>285491.3</v>
      </c>
      <c r="K440" s="21">
        <f>IFERROR(tb_Auditoria[[#This Row],[VALOR ESPERADO]] / tb_Auditoria[[#This Row],[VALOR CRÉDITO]], 0)</f>
        <v>0</v>
      </c>
      <c r="L440" s="19" t="e">
        <f>SUMIFS([1]!Motor_Comissão[Valor Previsto],[1]!Motor_Comissão[Chave], tb_Auditoria[[#This Row],[Nº CONTRATO]]&amp;"-"&amp;tb_Auditoria[[#This Row],[PARCELA ATUAL]])</f>
        <v>#REF!</v>
      </c>
      <c r="M440" s="19" t="e">
        <f>tb_Auditoria[[#This Row],[VALOR PAGO]] - tb_Auditoria[[#This Row],[VALOR ESPERADO]]</f>
        <v>#REF!</v>
      </c>
      <c r="N4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1" spans="1:15">
      <c r="A441" s="9">
        <v>1151505</v>
      </c>
      <c r="B441" s="10">
        <v>9</v>
      </c>
      <c r="C441" s="28">
        <v>2.1459999999999999E-3</v>
      </c>
      <c r="D441" s="12">
        <f>tb_Auditoria[[#This Row],[% TAXA RELATÓRIO]]*tb_Auditoria[[#This Row],[VALOR CRÉDITO]]</f>
        <v>612.6643297999999</v>
      </c>
      <c r="E441" s="13">
        <v>46161</v>
      </c>
      <c r="F441" s="13" t="s">
        <v>16</v>
      </c>
      <c r="G44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4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1" s="19">
        <f>IFERROR(INDEX([1]!tb_Vendas[Crédito],MATCH(tb_Auditoria[[#This Row],[Nº CONTRATO]],[1]!tb_Vendas[Nº Contrato],0)),0)</f>
        <v>285491.3</v>
      </c>
      <c r="K441" s="21">
        <f>IFERROR(tb_Auditoria[[#This Row],[VALOR ESPERADO]] / tb_Auditoria[[#This Row],[VALOR CRÉDITO]], 0)</f>
        <v>0</v>
      </c>
      <c r="L441" s="19" t="e">
        <f>SUMIFS([1]!Motor_Comissão[Valor Previsto],[1]!Motor_Comissão[Chave], tb_Auditoria[[#This Row],[Nº CONTRATO]]&amp;"-"&amp;tb_Auditoria[[#This Row],[PARCELA ATUAL]])</f>
        <v>#REF!</v>
      </c>
      <c r="M441" s="19" t="e">
        <f>tb_Auditoria[[#This Row],[VALOR PAGO]] - tb_Auditoria[[#This Row],[VALOR ESPERADO]]</f>
        <v>#REF!</v>
      </c>
      <c r="N4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2" spans="1:15">
      <c r="A442" s="9">
        <v>1151506</v>
      </c>
      <c r="B442" s="10">
        <v>9</v>
      </c>
      <c r="C442" s="28">
        <v>2.0300000000000001E-3</v>
      </c>
      <c r="D442" s="12">
        <f>tb_Auditoria[[#This Row],[% TAXA RELATÓRIO]]*tb_Auditoria[[#This Row],[VALOR CRÉDITO]]</f>
        <v>620.89831720000006</v>
      </c>
      <c r="E442" s="13">
        <v>46161</v>
      </c>
      <c r="F442" s="13" t="s">
        <v>16</v>
      </c>
      <c r="G44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4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2" s="19">
        <f>IFERROR(INDEX([1]!tb_Vendas[Crédito],MATCH(tb_Auditoria[[#This Row],[Nº CONTRATO]],[1]!tb_Vendas[Nº Contrato],0)),0)</f>
        <v>305861.24</v>
      </c>
      <c r="K442" s="21">
        <f>IFERROR(tb_Auditoria[[#This Row],[VALOR ESPERADO]] / tb_Auditoria[[#This Row],[VALOR CRÉDITO]], 0)</f>
        <v>0</v>
      </c>
      <c r="L442" s="19" t="e">
        <f>SUMIFS([1]!Motor_Comissão[Valor Previsto],[1]!Motor_Comissão[Chave], tb_Auditoria[[#This Row],[Nº CONTRATO]]&amp;"-"&amp;tb_Auditoria[[#This Row],[PARCELA ATUAL]])</f>
        <v>#REF!</v>
      </c>
      <c r="M442" s="19" t="e">
        <f>tb_Auditoria[[#This Row],[VALOR PAGO]] - tb_Auditoria[[#This Row],[VALOR ESPERADO]]</f>
        <v>#REF!</v>
      </c>
      <c r="N4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3" spans="1:15">
      <c r="A443" s="9">
        <v>1151507</v>
      </c>
      <c r="B443" s="10">
        <v>9</v>
      </c>
      <c r="C443" s="28">
        <v>2.0300000000000001E-3</v>
      </c>
      <c r="D443" s="12">
        <f>tb_Auditoria[[#This Row],[% TAXA RELATÓRIO]]*tb_Auditoria[[#This Row],[VALOR CRÉDITO]]</f>
        <v>620.89831720000006</v>
      </c>
      <c r="E443" s="13">
        <v>46161</v>
      </c>
      <c r="F443" s="13" t="s">
        <v>16</v>
      </c>
      <c r="G44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4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3" s="19">
        <f>IFERROR(INDEX([1]!tb_Vendas[Crédito],MATCH(tb_Auditoria[[#This Row],[Nº CONTRATO]],[1]!tb_Vendas[Nº Contrato],0)),0)</f>
        <v>305861.24</v>
      </c>
      <c r="K443" s="21">
        <f>IFERROR(tb_Auditoria[[#This Row],[VALOR ESPERADO]] / tb_Auditoria[[#This Row],[VALOR CRÉDITO]], 0)</f>
        <v>0</v>
      </c>
      <c r="L443" s="19" t="e">
        <f>SUMIFS([1]!Motor_Comissão[Valor Previsto],[1]!Motor_Comissão[Chave], tb_Auditoria[[#This Row],[Nº CONTRATO]]&amp;"-"&amp;tb_Auditoria[[#This Row],[PARCELA ATUAL]])</f>
        <v>#REF!</v>
      </c>
      <c r="M443" s="19" t="e">
        <f>tb_Auditoria[[#This Row],[VALOR PAGO]] - tb_Auditoria[[#This Row],[VALOR ESPERADO]]</f>
        <v>#REF!</v>
      </c>
      <c r="N4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4" spans="1:15">
      <c r="A444" s="9">
        <v>1151509</v>
      </c>
      <c r="B444" s="10">
        <v>9</v>
      </c>
      <c r="C444" s="28">
        <v>2.0300000000000001E-3</v>
      </c>
      <c r="D444" s="12">
        <f>tb_Auditoria[[#This Row],[% TAXA RELATÓRIO]]*tb_Auditoria[[#This Row],[VALOR CRÉDITO]]</f>
        <v>620.89831720000006</v>
      </c>
      <c r="E444" s="13">
        <v>46161</v>
      </c>
      <c r="F444" s="13" t="s">
        <v>16</v>
      </c>
      <c r="G44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4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4" s="19">
        <f>IFERROR(INDEX([1]!tb_Vendas[Crédito],MATCH(tb_Auditoria[[#This Row],[Nº CONTRATO]],[1]!tb_Vendas[Nº Contrato],0)),0)</f>
        <v>305861.24</v>
      </c>
      <c r="K444" s="21">
        <f>IFERROR(tb_Auditoria[[#This Row],[VALOR ESPERADO]] / tb_Auditoria[[#This Row],[VALOR CRÉDITO]], 0)</f>
        <v>0</v>
      </c>
      <c r="L444" s="19" t="e">
        <f>SUMIFS([1]!Motor_Comissão[Valor Previsto],[1]!Motor_Comissão[Chave], tb_Auditoria[[#This Row],[Nº CONTRATO]]&amp;"-"&amp;tb_Auditoria[[#This Row],[PARCELA ATUAL]])</f>
        <v>#REF!</v>
      </c>
      <c r="M444" s="19" t="e">
        <f>tb_Auditoria[[#This Row],[VALOR PAGO]] - tb_Auditoria[[#This Row],[VALOR ESPERADO]]</f>
        <v>#REF!</v>
      </c>
      <c r="N4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5" spans="1:15">
      <c r="A445" s="9">
        <v>1151510</v>
      </c>
      <c r="B445" s="10">
        <v>9</v>
      </c>
      <c r="C445" s="28">
        <v>2.0300000000000001E-3</v>
      </c>
      <c r="D445" s="12">
        <f>tb_Auditoria[[#This Row],[% TAXA RELATÓRIO]]*tb_Auditoria[[#This Row],[VALOR CRÉDITO]]</f>
        <v>620.89831720000006</v>
      </c>
      <c r="E445" s="13">
        <v>46161</v>
      </c>
      <c r="F445" s="13" t="s">
        <v>16</v>
      </c>
      <c r="G44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4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5" s="19">
        <f>IFERROR(INDEX([1]!tb_Vendas[Crédito],MATCH(tb_Auditoria[[#This Row],[Nº CONTRATO]],[1]!tb_Vendas[Nº Contrato],0)),0)</f>
        <v>305861.24</v>
      </c>
      <c r="K445" s="21">
        <f>IFERROR(tb_Auditoria[[#This Row],[VALOR ESPERADO]] / tb_Auditoria[[#This Row],[VALOR CRÉDITO]], 0)</f>
        <v>0</v>
      </c>
      <c r="L445" s="19" t="e">
        <f>SUMIFS([1]!Motor_Comissão[Valor Previsto],[1]!Motor_Comissão[Chave], tb_Auditoria[[#This Row],[Nº CONTRATO]]&amp;"-"&amp;tb_Auditoria[[#This Row],[PARCELA ATUAL]])</f>
        <v>#REF!</v>
      </c>
      <c r="M445" s="19" t="e">
        <f>tb_Auditoria[[#This Row],[VALOR PAGO]] - tb_Auditoria[[#This Row],[VALOR ESPERADO]]</f>
        <v>#REF!</v>
      </c>
      <c r="N4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6" spans="1:15">
      <c r="A446" s="9">
        <v>1151511</v>
      </c>
      <c r="B446" s="10">
        <v>9</v>
      </c>
      <c r="C446" s="28">
        <v>2.0300000000000001E-3</v>
      </c>
      <c r="D446" s="12">
        <f>tb_Auditoria[[#This Row],[% TAXA RELATÓRIO]]*tb_Auditoria[[#This Row],[VALOR CRÉDITO]]</f>
        <v>588.74981619999994</v>
      </c>
      <c r="E446" s="13">
        <v>46161</v>
      </c>
      <c r="F446" s="13" t="s">
        <v>16</v>
      </c>
      <c r="G44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4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6" s="19">
        <f>IFERROR(INDEX([1]!tb_Vendas[Crédito],MATCH(tb_Auditoria[[#This Row],[Nº CONTRATO]],[1]!tb_Vendas[Nº Contrato],0)),0)</f>
        <v>290024.53999999998</v>
      </c>
      <c r="K446" s="21">
        <f>IFERROR(tb_Auditoria[[#This Row],[VALOR ESPERADO]] / tb_Auditoria[[#This Row],[VALOR CRÉDITO]], 0)</f>
        <v>0</v>
      </c>
      <c r="L446" s="19" t="e">
        <f>SUMIFS([1]!Motor_Comissão[Valor Previsto],[1]!Motor_Comissão[Chave], tb_Auditoria[[#This Row],[Nº CONTRATO]]&amp;"-"&amp;tb_Auditoria[[#This Row],[PARCELA ATUAL]])</f>
        <v>#REF!</v>
      </c>
      <c r="M446" s="19" t="e">
        <f>tb_Auditoria[[#This Row],[VALOR PAGO]] - tb_Auditoria[[#This Row],[VALOR ESPERADO]]</f>
        <v>#REF!</v>
      </c>
      <c r="N4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7" spans="1:15">
      <c r="A447" s="9">
        <v>1151512</v>
      </c>
      <c r="B447" s="10">
        <v>9</v>
      </c>
      <c r="C447" s="28">
        <v>2.0300000000000001E-3</v>
      </c>
      <c r="D447" s="12">
        <f>tb_Auditoria[[#This Row],[% TAXA RELATÓRIO]]*tb_Auditoria[[#This Row],[VALOR CRÉDITO]]</f>
        <v>588.74981619999994</v>
      </c>
      <c r="E447" s="13">
        <v>46161</v>
      </c>
      <c r="F447" s="13" t="s">
        <v>16</v>
      </c>
      <c r="G44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4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7" s="19">
        <f>IFERROR(INDEX([1]!tb_Vendas[Crédito],MATCH(tb_Auditoria[[#This Row],[Nº CONTRATO]],[1]!tb_Vendas[Nº Contrato],0)),0)</f>
        <v>290024.53999999998</v>
      </c>
      <c r="K447" s="21">
        <f>IFERROR(tb_Auditoria[[#This Row],[VALOR ESPERADO]] / tb_Auditoria[[#This Row],[VALOR CRÉDITO]], 0)</f>
        <v>0</v>
      </c>
      <c r="L447" s="19" t="e">
        <f>SUMIFS([1]!Motor_Comissão[Valor Previsto],[1]!Motor_Comissão[Chave], tb_Auditoria[[#This Row],[Nº CONTRATO]]&amp;"-"&amp;tb_Auditoria[[#This Row],[PARCELA ATUAL]])</f>
        <v>#REF!</v>
      </c>
      <c r="M447" s="19" t="e">
        <f>tb_Auditoria[[#This Row],[VALOR PAGO]] - tb_Auditoria[[#This Row],[VALOR ESPERADO]]</f>
        <v>#REF!</v>
      </c>
      <c r="N4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8" spans="1:15">
      <c r="A448" s="9">
        <v>1151514</v>
      </c>
      <c r="B448" s="10">
        <v>9</v>
      </c>
      <c r="C448" s="28">
        <v>2.0300000000000001E-3</v>
      </c>
      <c r="D448" s="12">
        <f>tb_Auditoria[[#This Row],[% TAXA RELATÓRIO]]*tb_Auditoria[[#This Row],[VALOR CRÉDITO]]</f>
        <v>1216.8159212999999</v>
      </c>
      <c r="E448" s="13">
        <v>46161</v>
      </c>
      <c r="F448" s="13" t="s">
        <v>16</v>
      </c>
      <c r="G44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4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8" s="19">
        <f>IFERROR(INDEX([1]!tb_Vendas[Crédito],MATCH(tb_Auditoria[[#This Row],[Nº CONTRATO]],[1]!tb_Vendas[Nº Contrato],0)),0)</f>
        <v>599416.71</v>
      </c>
      <c r="K448" s="21">
        <f>IFERROR(tb_Auditoria[[#This Row],[VALOR ESPERADO]] / tb_Auditoria[[#This Row],[VALOR CRÉDITO]], 0)</f>
        <v>0</v>
      </c>
      <c r="L448" s="19" t="e">
        <f>SUMIFS([1]!Motor_Comissão[Valor Previsto],[1]!Motor_Comissão[Chave], tb_Auditoria[[#This Row],[Nº CONTRATO]]&amp;"-"&amp;tb_Auditoria[[#This Row],[PARCELA ATUAL]])</f>
        <v>#REF!</v>
      </c>
      <c r="M448" s="19" t="e">
        <f>tb_Auditoria[[#This Row],[VALOR PAGO]] - tb_Auditoria[[#This Row],[VALOR ESPERADO]]</f>
        <v>#REF!</v>
      </c>
      <c r="N4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49" spans="1:15">
      <c r="A449" s="9">
        <v>1151515</v>
      </c>
      <c r="B449" s="10">
        <v>9</v>
      </c>
      <c r="C449" s="28">
        <v>2.0300000000000001E-3</v>
      </c>
      <c r="D449" s="12">
        <f>tb_Auditoria[[#This Row],[% TAXA RELATÓRIO]]*tb_Auditoria[[#This Row],[VALOR CRÉDITO]]</f>
        <v>1216.8159212999999</v>
      </c>
      <c r="E449" s="13">
        <v>46161</v>
      </c>
      <c r="F449" s="13" t="s">
        <v>16</v>
      </c>
      <c r="G44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4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4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49" s="19">
        <f>IFERROR(INDEX([1]!tb_Vendas[Crédito],MATCH(tb_Auditoria[[#This Row],[Nº CONTRATO]],[1]!tb_Vendas[Nº Contrato],0)),0)</f>
        <v>599416.71</v>
      </c>
      <c r="K449" s="21">
        <f>IFERROR(tb_Auditoria[[#This Row],[VALOR ESPERADO]] / tb_Auditoria[[#This Row],[VALOR CRÉDITO]], 0)</f>
        <v>0</v>
      </c>
      <c r="L449" s="19" t="e">
        <f>SUMIFS([1]!Motor_Comissão[Valor Previsto],[1]!Motor_Comissão[Chave], tb_Auditoria[[#This Row],[Nº CONTRATO]]&amp;"-"&amp;tb_Auditoria[[#This Row],[PARCELA ATUAL]])</f>
        <v>#REF!</v>
      </c>
      <c r="M449" s="19" t="e">
        <f>tb_Auditoria[[#This Row],[VALOR PAGO]] - tb_Auditoria[[#This Row],[VALOR ESPERADO]]</f>
        <v>#REF!</v>
      </c>
      <c r="N4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0" spans="1:15">
      <c r="A450" s="9">
        <v>1151516</v>
      </c>
      <c r="B450" s="10">
        <v>9</v>
      </c>
      <c r="C450" s="28">
        <v>2.0300000000000001E-3</v>
      </c>
      <c r="D450" s="12">
        <f>tb_Auditoria[[#This Row],[% TAXA RELATÓRIO]]*tb_Auditoria[[#This Row],[VALOR CRÉDITO]]</f>
        <v>1216.8159212999999</v>
      </c>
      <c r="E450" s="13">
        <v>46161</v>
      </c>
      <c r="F450" s="13" t="s">
        <v>16</v>
      </c>
      <c r="G45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5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0" s="19">
        <f>IFERROR(INDEX([1]!tb_Vendas[Crédito],MATCH(tb_Auditoria[[#This Row],[Nº CONTRATO]],[1]!tb_Vendas[Nº Contrato],0)),0)</f>
        <v>599416.71</v>
      </c>
      <c r="K450" s="21">
        <f>IFERROR(tb_Auditoria[[#This Row],[VALOR ESPERADO]] / tb_Auditoria[[#This Row],[VALOR CRÉDITO]], 0)</f>
        <v>0</v>
      </c>
      <c r="L450" s="19" t="e">
        <f>SUMIFS([1]!Motor_Comissão[Valor Previsto],[1]!Motor_Comissão[Chave], tb_Auditoria[[#This Row],[Nº CONTRATO]]&amp;"-"&amp;tb_Auditoria[[#This Row],[PARCELA ATUAL]])</f>
        <v>#REF!</v>
      </c>
      <c r="M450" s="19" t="e">
        <f>tb_Auditoria[[#This Row],[VALOR PAGO]] - tb_Auditoria[[#This Row],[VALOR ESPERADO]]</f>
        <v>#REF!</v>
      </c>
      <c r="N4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1" spans="1:15">
      <c r="A451" s="9">
        <v>1151517</v>
      </c>
      <c r="B451" s="10">
        <v>9</v>
      </c>
      <c r="C451" s="28">
        <v>2.0300000000000001E-3</v>
      </c>
      <c r="D451" s="12">
        <f>tb_Auditoria[[#This Row],[% TAXA RELATÓRIO]]*tb_Auditoria[[#This Row],[VALOR CRÉDITO]]</f>
        <v>1216.8159212999999</v>
      </c>
      <c r="E451" s="13">
        <v>46161</v>
      </c>
      <c r="F451" s="13" t="s">
        <v>16</v>
      </c>
      <c r="G45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5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1" s="19">
        <f>IFERROR(INDEX([1]!tb_Vendas[Crédito],MATCH(tb_Auditoria[[#This Row],[Nº CONTRATO]],[1]!tb_Vendas[Nº Contrato],0)),0)</f>
        <v>599416.71</v>
      </c>
      <c r="K451" s="21">
        <f>IFERROR(tb_Auditoria[[#This Row],[VALOR ESPERADO]] / tb_Auditoria[[#This Row],[VALOR CRÉDITO]], 0)</f>
        <v>0</v>
      </c>
      <c r="L451" s="19" t="e">
        <f>SUMIFS([1]!Motor_Comissão[Valor Previsto],[1]!Motor_Comissão[Chave], tb_Auditoria[[#This Row],[Nº CONTRATO]]&amp;"-"&amp;tb_Auditoria[[#This Row],[PARCELA ATUAL]])</f>
        <v>#REF!</v>
      </c>
      <c r="M451" s="19" t="e">
        <f>tb_Auditoria[[#This Row],[VALOR PAGO]] - tb_Auditoria[[#This Row],[VALOR ESPERADO]]</f>
        <v>#REF!</v>
      </c>
      <c r="N4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2" spans="1:15">
      <c r="A452" s="9">
        <v>1151518</v>
      </c>
      <c r="B452" s="10">
        <v>9</v>
      </c>
      <c r="C452" s="28">
        <v>2.0300000000000001E-3</v>
      </c>
      <c r="D452" s="12">
        <f>tb_Auditoria[[#This Row],[% TAXA RELATÓRIO]]*tb_Auditoria[[#This Row],[VALOR CRÉDITO]]</f>
        <v>1216.8159212999999</v>
      </c>
      <c r="E452" s="13">
        <v>46161</v>
      </c>
      <c r="F452" s="13" t="s">
        <v>16</v>
      </c>
      <c r="G45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5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2" s="19">
        <f>IFERROR(INDEX([1]!tb_Vendas[Crédito],MATCH(tb_Auditoria[[#This Row],[Nº CONTRATO]],[1]!tb_Vendas[Nº Contrato],0)),0)</f>
        <v>599416.71</v>
      </c>
      <c r="K452" s="21">
        <f>IFERROR(tb_Auditoria[[#This Row],[VALOR ESPERADO]] / tb_Auditoria[[#This Row],[VALOR CRÉDITO]], 0)</f>
        <v>0</v>
      </c>
      <c r="L452" s="19" t="e">
        <f>SUMIFS([1]!Motor_Comissão[Valor Previsto],[1]!Motor_Comissão[Chave], tb_Auditoria[[#This Row],[Nº CONTRATO]]&amp;"-"&amp;tb_Auditoria[[#This Row],[PARCELA ATUAL]])</f>
        <v>#REF!</v>
      </c>
      <c r="M452" s="19" t="e">
        <f>tb_Auditoria[[#This Row],[VALOR PAGO]] - tb_Auditoria[[#This Row],[VALOR ESPERADO]]</f>
        <v>#REF!</v>
      </c>
      <c r="N4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3" spans="1:15">
      <c r="A453" s="9">
        <v>1151519</v>
      </c>
      <c r="B453" s="10">
        <v>9</v>
      </c>
      <c r="C453" s="28">
        <v>2.0300000000000001E-3</v>
      </c>
      <c r="D453" s="12">
        <f>tb_Auditoria[[#This Row],[% TAXA RELATÓRIO]]*tb_Auditoria[[#This Row],[VALOR CRÉDITO]]</f>
        <v>1216.8159212999999</v>
      </c>
      <c r="E453" s="13">
        <v>46161</v>
      </c>
      <c r="F453" s="13" t="s">
        <v>16</v>
      </c>
      <c r="G45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5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3" s="19">
        <f>IFERROR(INDEX([1]!tb_Vendas[Crédito],MATCH(tb_Auditoria[[#This Row],[Nº CONTRATO]],[1]!tb_Vendas[Nº Contrato],0)),0)</f>
        <v>599416.71</v>
      </c>
      <c r="K453" s="21">
        <f>IFERROR(tb_Auditoria[[#This Row],[VALOR ESPERADO]] / tb_Auditoria[[#This Row],[VALOR CRÉDITO]], 0)</f>
        <v>0</v>
      </c>
      <c r="L453" s="19" t="e">
        <f>SUMIFS([1]!Motor_Comissão[Valor Previsto],[1]!Motor_Comissão[Chave], tb_Auditoria[[#This Row],[Nº CONTRATO]]&amp;"-"&amp;tb_Auditoria[[#This Row],[PARCELA ATUAL]])</f>
        <v>#REF!</v>
      </c>
      <c r="M453" s="19" t="e">
        <f>tb_Auditoria[[#This Row],[VALOR PAGO]] - tb_Auditoria[[#This Row],[VALOR ESPERADO]]</f>
        <v>#REF!</v>
      </c>
      <c r="N4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4" spans="1:15">
      <c r="A454" s="9">
        <v>1151520</v>
      </c>
      <c r="B454" s="10">
        <v>9</v>
      </c>
      <c r="C454" s="28">
        <v>2.0300000000000001E-3</v>
      </c>
      <c r="D454" s="12">
        <f>tb_Auditoria[[#This Row],[% TAXA RELATÓRIO]]*tb_Auditoria[[#This Row],[VALOR CRÉDITO]]</f>
        <v>1216.8159212999999</v>
      </c>
      <c r="E454" s="13">
        <v>46161</v>
      </c>
      <c r="F454" s="13" t="s">
        <v>16</v>
      </c>
      <c r="G45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5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4" s="19">
        <f>IFERROR(INDEX([1]!tb_Vendas[Crédito],MATCH(tb_Auditoria[[#This Row],[Nº CONTRATO]],[1]!tb_Vendas[Nº Contrato],0)),0)</f>
        <v>599416.71</v>
      </c>
      <c r="K454" s="21">
        <f>IFERROR(tb_Auditoria[[#This Row],[VALOR ESPERADO]] / tb_Auditoria[[#This Row],[VALOR CRÉDITO]], 0)</f>
        <v>0</v>
      </c>
      <c r="L454" s="19" t="e">
        <f>SUMIFS([1]!Motor_Comissão[Valor Previsto],[1]!Motor_Comissão[Chave], tb_Auditoria[[#This Row],[Nº CONTRATO]]&amp;"-"&amp;tb_Auditoria[[#This Row],[PARCELA ATUAL]])</f>
        <v>#REF!</v>
      </c>
      <c r="M454" s="19" t="e">
        <f>tb_Auditoria[[#This Row],[VALOR PAGO]] - tb_Auditoria[[#This Row],[VALOR ESPERADO]]</f>
        <v>#REF!</v>
      </c>
      <c r="N4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5" spans="1:15">
      <c r="A455" s="9">
        <v>1151521</v>
      </c>
      <c r="B455" s="10">
        <v>9</v>
      </c>
      <c r="C455" s="28">
        <v>2.0300000000000001E-3</v>
      </c>
      <c r="D455" s="12">
        <f>tb_Auditoria[[#This Row],[% TAXA RELATÓRIO]]*tb_Auditoria[[#This Row],[VALOR CRÉDITO]]</f>
        <v>1216.8159212999999</v>
      </c>
      <c r="E455" s="13">
        <v>46161</v>
      </c>
      <c r="F455" s="13" t="s">
        <v>16</v>
      </c>
      <c r="G45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5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5" s="19">
        <f>IFERROR(INDEX([1]!tb_Vendas[Crédito],MATCH(tb_Auditoria[[#This Row],[Nº CONTRATO]],[1]!tb_Vendas[Nº Contrato],0)),0)</f>
        <v>599416.71</v>
      </c>
      <c r="K455" s="21">
        <f>IFERROR(tb_Auditoria[[#This Row],[VALOR ESPERADO]] / tb_Auditoria[[#This Row],[VALOR CRÉDITO]], 0)</f>
        <v>0</v>
      </c>
      <c r="L455" s="19" t="e">
        <f>SUMIFS([1]!Motor_Comissão[Valor Previsto],[1]!Motor_Comissão[Chave], tb_Auditoria[[#This Row],[Nº CONTRATO]]&amp;"-"&amp;tb_Auditoria[[#This Row],[PARCELA ATUAL]])</f>
        <v>#REF!</v>
      </c>
      <c r="M455" s="19" t="e">
        <f>tb_Auditoria[[#This Row],[VALOR PAGO]] - tb_Auditoria[[#This Row],[VALOR ESPERADO]]</f>
        <v>#REF!</v>
      </c>
      <c r="N4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6" spans="1:15">
      <c r="A456" s="9">
        <v>1151522</v>
      </c>
      <c r="B456" s="10">
        <v>9</v>
      </c>
      <c r="C456" s="28">
        <v>2.0300000000000001E-3</v>
      </c>
      <c r="D456" s="12">
        <f>tb_Auditoria[[#This Row],[% TAXA RELATÓRIO]]*tb_Auditoria[[#This Row],[VALOR CRÉDITO]]</f>
        <v>1216.8159212999999</v>
      </c>
      <c r="E456" s="13">
        <v>46161</v>
      </c>
      <c r="F456" s="13" t="s">
        <v>16</v>
      </c>
      <c r="G45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5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6" s="19">
        <f>IFERROR(INDEX([1]!tb_Vendas[Crédito],MATCH(tb_Auditoria[[#This Row],[Nº CONTRATO]],[1]!tb_Vendas[Nº Contrato],0)),0)</f>
        <v>599416.71</v>
      </c>
      <c r="K456" s="21">
        <f>IFERROR(tb_Auditoria[[#This Row],[VALOR ESPERADO]] / tb_Auditoria[[#This Row],[VALOR CRÉDITO]], 0)</f>
        <v>0</v>
      </c>
      <c r="L456" s="19" t="e">
        <f>SUMIFS([1]!Motor_Comissão[Valor Previsto],[1]!Motor_Comissão[Chave], tb_Auditoria[[#This Row],[Nº CONTRATO]]&amp;"-"&amp;tb_Auditoria[[#This Row],[PARCELA ATUAL]])</f>
        <v>#REF!</v>
      </c>
      <c r="M456" s="19" t="e">
        <f>tb_Auditoria[[#This Row],[VALOR PAGO]] - tb_Auditoria[[#This Row],[VALOR ESPERADO]]</f>
        <v>#REF!</v>
      </c>
      <c r="N4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7" spans="1:15">
      <c r="A457" s="9">
        <v>1151523</v>
      </c>
      <c r="B457" s="10">
        <v>9</v>
      </c>
      <c r="C457" s="28">
        <v>2.2620000000000001E-3</v>
      </c>
      <c r="D457" s="12">
        <f>tb_Auditoria[[#This Row],[% TAXA RELATÓRIO]]*tb_Auditoria[[#This Row],[VALOR CRÉDITO]]</f>
        <v>1010.3969686200001</v>
      </c>
      <c r="E457" s="13">
        <v>46161</v>
      </c>
      <c r="F457" s="13" t="s">
        <v>16</v>
      </c>
      <c r="G45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5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7" s="19">
        <f>IFERROR(INDEX([1]!tb_Vendas[Crédito],MATCH(tb_Auditoria[[#This Row],[Nº CONTRATO]],[1]!tb_Vendas[Nº Contrato],0)),0)</f>
        <v>446683.01</v>
      </c>
      <c r="K457" s="21">
        <f>IFERROR(tb_Auditoria[[#This Row],[VALOR ESPERADO]] / tb_Auditoria[[#This Row],[VALOR CRÉDITO]], 0)</f>
        <v>0</v>
      </c>
      <c r="L457" s="19" t="e">
        <f>SUMIFS([1]!Motor_Comissão[Valor Previsto],[1]!Motor_Comissão[Chave], tb_Auditoria[[#This Row],[Nº CONTRATO]]&amp;"-"&amp;tb_Auditoria[[#This Row],[PARCELA ATUAL]])</f>
        <v>#REF!</v>
      </c>
      <c r="M457" s="19" t="e">
        <f>tb_Auditoria[[#This Row],[VALOR PAGO]] - tb_Auditoria[[#This Row],[VALOR ESPERADO]]</f>
        <v>#REF!</v>
      </c>
      <c r="N4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8" spans="1:15">
      <c r="A458" s="9">
        <v>1151525</v>
      </c>
      <c r="B458" s="10">
        <v>9</v>
      </c>
      <c r="C458" s="28">
        <v>2.2620000000000001E-3</v>
      </c>
      <c r="D458" s="12">
        <f>tb_Auditoria[[#This Row],[% TAXA RELATÓRIO]]*tb_Auditoria[[#This Row],[VALOR CRÉDITO]]</f>
        <v>1010.3969686200001</v>
      </c>
      <c r="E458" s="13">
        <v>46161</v>
      </c>
      <c r="F458" s="13" t="s">
        <v>16</v>
      </c>
      <c r="G45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5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8" s="19">
        <f>IFERROR(INDEX([1]!tb_Vendas[Crédito],MATCH(tb_Auditoria[[#This Row],[Nº CONTRATO]],[1]!tb_Vendas[Nº Contrato],0)),0)</f>
        <v>446683.01</v>
      </c>
      <c r="K458" s="21">
        <f>IFERROR(tb_Auditoria[[#This Row],[VALOR ESPERADO]] / tb_Auditoria[[#This Row],[VALOR CRÉDITO]], 0)</f>
        <v>0</v>
      </c>
      <c r="L458" s="19" t="e">
        <f>SUMIFS([1]!Motor_Comissão[Valor Previsto],[1]!Motor_Comissão[Chave], tb_Auditoria[[#This Row],[Nº CONTRATO]]&amp;"-"&amp;tb_Auditoria[[#This Row],[PARCELA ATUAL]])</f>
        <v>#REF!</v>
      </c>
      <c r="M458" s="19" t="e">
        <f>tb_Auditoria[[#This Row],[VALOR PAGO]] - tb_Auditoria[[#This Row],[VALOR ESPERADO]]</f>
        <v>#REF!</v>
      </c>
      <c r="N4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59" spans="1:15">
      <c r="A459" s="9">
        <v>1151526</v>
      </c>
      <c r="B459" s="10">
        <v>9</v>
      </c>
      <c r="C459" s="28">
        <v>2.32E-3</v>
      </c>
      <c r="D459" s="12">
        <f>tb_Auditoria[[#This Row],[% TAXA RELATÓRIO]]*tb_Auditoria[[#This Row],[VALOR CRÉDITO]]</f>
        <v>928</v>
      </c>
      <c r="E459" s="13">
        <v>46161</v>
      </c>
      <c r="F459" s="13" t="s">
        <v>16</v>
      </c>
      <c r="G45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5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5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59" s="19">
        <f>IFERROR(INDEX([1]!tb_Vendas[Crédito],MATCH(tb_Auditoria[[#This Row],[Nº CONTRATO]],[1]!tb_Vendas[Nº Contrato],0)),0)</f>
        <v>400000</v>
      </c>
      <c r="K459" s="21">
        <f>IFERROR(tb_Auditoria[[#This Row],[VALOR ESPERADO]] / tb_Auditoria[[#This Row],[VALOR CRÉDITO]], 0)</f>
        <v>0</v>
      </c>
      <c r="L459" s="19" t="e">
        <f>SUMIFS([1]!Motor_Comissão[Valor Previsto],[1]!Motor_Comissão[Chave], tb_Auditoria[[#This Row],[Nº CONTRATO]]&amp;"-"&amp;tb_Auditoria[[#This Row],[PARCELA ATUAL]])</f>
        <v>#REF!</v>
      </c>
      <c r="M459" s="19" t="e">
        <f>tb_Auditoria[[#This Row],[VALOR PAGO]] - tb_Auditoria[[#This Row],[VALOR ESPERADO]]</f>
        <v>#REF!</v>
      </c>
      <c r="N4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0" spans="1:15">
      <c r="A460" s="9">
        <v>1151527</v>
      </c>
      <c r="B460" s="10">
        <v>9</v>
      </c>
      <c r="C460" s="28">
        <v>2.32E-3</v>
      </c>
      <c r="D460" s="12">
        <f>tb_Auditoria[[#This Row],[% TAXA RELATÓRIO]]*tb_Auditoria[[#This Row],[VALOR CRÉDITO]]</f>
        <v>928</v>
      </c>
      <c r="E460" s="13">
        <v>46161</v>
      </c>
      <c r="F460" s="13" t="s">
        <v>16</v>
      </c>
      <c r="G46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6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0" s="19">
        <f>IFERROR(INDEX([1]!tb_Vendas[Crédito],MATCH(tb_Auditoria[[#This Row],[Nº CONTRATO]],[1]!tb_Vendas[Nº Contrato],0)),0)</f>
        <v>400000</v>
      </c>
      <c r="K460" s="21">
        <f>IFERROR(tb_Auditoria[[#This Row],[VALOR ESPERADO]] / tb_Auditoria[[#This Row],[VALOR CRÉDITO]], 0)</f>
        <v>0</v>
      </c>
      <c r="L460" s="19" t="e">
        <f>SUMIFS([1]!Motor_Comissão[Valor Previsto],[1]!Motor_Comissão[Chave], tb_Auditoria[[#This Row],[Nº CONTRATO]]&amp;"-"&amp;tb_Auditoria[[#This Row],[PARCELA ATUAL]])</f>
        <v>#REF!</v>
      </c>
      <c r="M460" s="19" t="e">
        <f>tb_Auditoria[[#This Row],[VALOR PAGO]] - tb_Auditoria[[#This Row],[VALOR ESPERADO]]</f>
        <v>#REF!</v>
      </c>
      <c r="N4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1" spans="1:15">
      <c r="A461" s="9">
        <v>1151528</v>
      </c>
      <c r="B461" s="10">
        <v>9</v>
      </c>
      <c r="C461" s="28">
        <v>2.32E-3</v>
      </c>
      <c r="D461" s="12">
        <f>tb_Auditoria[[#This Row],[% TAXA RELATÓRIO]]*tb_Auditoria[[#This Row],[VALOR CRÉDITO]]</f>
        <v>928</v>
      </c>
      <c r="E461" s="13">
        <v>46161</v>
      </c>
      <c r="F461" s="13" t="s">
        <v>16</v>
      </c>
      <c r="G46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6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1" s="19">
        <f>IFERROR(INDEX([1]!tb_Vendas[Crédito],MATCH(tb_Auditoria[[#This Row],[Nº CONTRATO]],[1]!tb_Vendas[Nº Contrato],0)),0)</f>
        <v>400000</v>
      </c>
      <c r="K461" s="21">
        <f>IFERROR(tb_Auditoria[[#This Row],[VALOR ESPERADO]] / tb_Auditoria[[#This Row],[VALOR CRÉDITO]], 0)</f>
        <v>0</v>
      </c>
      <c r="L461" s="19" t="e">
        <f>SUMIFS([1]!Motor_Comissão[Valor Previsto],[1]!Motor_Comissão[Chave], tb_Auditoria[[#This Row],[Nº CONTRATO]]&amp;"-"&amp;tb_Auditoria[[#This Row],[PARCELA ATUAL]])</f>
        <v>#REF!</v>
      </c>
      <c r="M461" s="19" t="e">
        <f>tb_Auditoria[[#This Row],[VALOR PAGO]] - tb_Auditoria[[#This Row],[VALOR ESPERADO]]</f>
        <v>#REF!</v>
      </c>
      <c r="N4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2" spans="1:15">
      <c r="A462" s="9">
        <v>1151529</v>
      </c>
      <c r="B462" s="10">
        <v>9</v>
      </c>
      <c r="C462" s="28">
        <v>2.32E-3</v>
      </c>
      <c r="D462" s="12">
        <f>tb_Auditoria[[#This Row],[% TAXA RELATÓRIO]]*tb_Auditoria[[#This Row],[VALOR CRÉDITO]]</f>
        <v>928</v>
      </c>
      <c r="E462" s="13">
        <v>46161</v>
      </c>
      <c r="F462" s="13" t="s">
        <v>16</v>
      </c>
      <c r="G46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6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2" s="19">
        <f>IFERROR(INDEX([1]!tb_Vendas[Crédito],MATCH(tb_Auditoria[[#This Row],[Nº CONTRATO]],[1]!tb_Vendas[Nº Contrato],0)),0)</f>
        <v>400000</v>
      </c>
      <c r="K462" s="21">
        <f>IFERROR(tb_Auditoria[[#This Row],[VALOR ESPERADO]] / tb_Auditoria[[#This Row],[VALOR CRÉDITO]], 0)</f>
        <v>0</v>
      </c>
      <c r="L462" s="19" t="e">
        <f>SUMIFS([1]!Motor_Comissão[Valor Previsto],[1]!Motor_Comissão[Chave], tb_Auditoria[[#This Row],[Nº CONTRATO]]&amp;"-"&amp;tb_Auditoria[[#This Row],[PARCELA ATUAL]])</f>
        <v>#REF!</v>
      </c>
      <c r="M462" s="19" t="e">
        <f>tb_Auditoria[[#This Row],[VALOR PAGO]] - tb_Auditoria[[#This Row],[VALOR ESPERADO]]</f>
        <v>#REF!</v>
      </c>
      <c r="N4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3" spans="1:15">
      <c r="A463" s="9">
        <v>1151530</v>
      </c>
      <c r="B463" s="10">
        <v>9</v>
      </c>
      <c r="C463" s="28">
        <v>2.32E-3</v>
      </c>
      <c r="D463" s="12">
        <f>tb_Auditoria[[#This Row],[% TAXA RELATÓRIO]]*tb_Auditoria[[#This Row],[VALOR CRÉDITO]]</f>
        <v>928</v>
      </c>
      <c r="E463" s="13">
        <v>46161</v>
      </c>
      <c r="F463" s="13" t="s">
        <v>16</v>
      </c>
      <c r="G46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6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3" s="19">
        <f>IFERROR(INDEX([1]!tb_Vendas[Crédito],MATCH(tb_Auditoria[[#This Row],[Nº CONTRATO]],[1]!tb_Vendas[Nº Contrato],0)),0)</f>
        <v>400000</v>
      </c>
      <c r="K463" s="21">
        <f>IFERROR(tb_Auditoria[[#This Row],[VALOR ESPERADO]] / tb_Auditoria[[#This Row],[VALOR CRÉDITO]], 0)</f>
        <v>0</v>
      </c>
      <c r="L463" s="19" t="e">
        <f>SUMIFS([1]!Motor_Comissão[Valor Previsto],[1]!Motor_Comissão[Chave], tb_Auditoria[[#This Row],[Nº CONTRATO]]&amp;"-"&amp;tb_Auditoria[[#This Row],[PARCELA ATUAL]])</f>
        <v>#REF!</v>
      </c>
      <c r="M463" s="19" t="e">
        <f>tb_Auditoria[[#This Row],[VALOR PAGO]] - tb_Auditoria[[#This Row],[VALOR ESPERADO]]</f>
        <v>#REF!</v>
      </c>
      <c r="N4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4" spans="1:15">
      <c r="A464" s="9">
        <v>1151532</v>
      </c>
      <c r="B464" s="10">
        <v>9</v>
      </c>
      <c r="C464" s="28">
        <v>1.72E-3</v>
      </c>
      <c r="D464" s="12">
        <f>tb_Auditoria[[#This Row],[% TAXA RELATÓRIO]]*tb_Auditoria[[#This Row],[VALOR CRÉDITO]]</f>
        <v>731</v>
      </c>
      <c r="E464" s="13">
        <v>46161</v>
      </c>
      <c r="F464" s="13" t="s">
        <v>16</v>
      </c>
      <c r="G46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6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4" s="19">
        <f>IFERROR(INDEX([1]!tb_Vendas[Crédito],MATCH(tb_Auditoria[[#This Row],[Nº CONTRATO]],[1]!tb_Vendas[Nº Contrato],0)),0)</f>
        <v>425000</v>
      </c>
      <c r="K464" s="21">
        <f>IFERROR(tb_Auditoria[[#This Row],[VALOR ESPERADO]] / tb_Auditoria[[#This Row],[VALOR CRÉDITO]], 0)</f>
        <v>0</v>
      </c>
      <c r="L464" s="19" t="e">
        <f>SUMIFS([1]!Motor_Comissão[Valor Previsto],[1]!Motor_Comissão[Chave], tb_Auditoria[[#This Row],[Nº CONTRATO]]&amp;"-"&amp;tb_Auditoria[[#This Row],[PARCELA ATUAL]])</f>
        <v>#REF!</v>
      </c>
      <c r="M464" s="19" t="e">
        <f>tb_Auditoria[[#This Row],[VALOR PAGO]] - tb_Auditoria[[#This Row],[VALOR ESPERADO]]</f>
        <v>#REF!</v>
      </c>
      <c r="N4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5" spans="1:15">
      <c r="A465" s="9">
        <v>1151535</v>
      </c>
      <c r="B465" s="10">
        <v>9</v>
      </c>
      <c r="C465" s="28">
        <v>1.5479999999999999E-3</v>
      </c>
      <c r="D465" s="12">
        <f>tb_Auditoria[[#This Row],[% TAXA RELATÓRIO]]*tb_Auditoria[[#This Row],[VALOR CRÉDITO]]</f>
        <v>619.19999999999993</v>
      </c>
      <c r="E465" s="13">
        <v>46161</v>
      </c>
      <c r="F465" s="13" t="s">
        <v>16</v>
      </c>
      <c r="G46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6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5" s="19">
        <f>IFERROR(INDEX([1]!tb_Vendas[Crédito],MATCH(tb_Auditoria[[#This Row],[Nº CONTRATO]],[1]!tb_Vendas[Nº Contrato],0)),0)</f>
        <v>400000</v>
      </c>
      <c r="K465" s="21">
        <f>IFERROR(tb_Auditoria[[#This Row],[VALOR ESPERADO]] / tb_Auditoria[[#This Row],[VALOR CRÉDITO]], 0)</f>
        <v>0</v>
      </c>
      <c r="L465" s="19" t="e">
        <f>SUMIFS([1]!Motor_Comissão[Valor Previsto],[1]!Motor_Comissão[Chave], tb_Auditoria[[#This Row],[Nº CONTRATO]]&amp;"-"&amp;tb_Auditoria[[#This Row],[PARCELA ATUAL]])</f>
        <v>#REF!</v>
      </c>
      <c r="M465" s="19" t="e">
        <f>tb_Auditoria[[#This Row],[VALOR PAGO]] - tb_Auditoria[[#This Row],[VALOR ESPERADO]]</f>
        <v>#REF!</v>
      </c>
      <c r="N4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6" spans="1:15">
      <c r="A466" s="9">
        <v>1151536</v>
      </c>
      <c r="B466" s="10">
        <v>9</v>
      </c>
      <c r="C466" s="28">
        <v>1.5479999999999999E-3</v>
      </c>
      <c r="D466" s="12">
        <f>tb_Auditoria[[#This Row],[% TAXA RELATÓRIO]]*tb_Auditoria[[#This Row],[VALOR CRÉDITO]]</f>
        <v>619.19999999999993</v>
      </c>
      <c r="E466" s="13">
        <v>46161</v>
      </c>
      <c r="F466" s="13" t="s">
        <v>16</v>
      </c>
      <c r="G46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6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6" s="19">
        <f>IFERROR(INDEX([1]!tb_Vendas[Crédito],MATCH(tb_Auditoria[[#This Row],[Nº CONTRATO]],[1]!tb_Vendas[Nº Contrato],0)),0)</f>
        <v>400000</v>
      </c>
      <c r="K466" s="21">
        <f>IFERROR(tb_Auditoria[[#This Row],[VALOR ESPERADO]] / tb_Auditoria[[#This Row],[VALOR CRÉDITO]], 0)</f>
        <v>0</v>
      </c>
      <c r="L466" s="19" t="e">
        <f>SUMIFS([1]!Motor_Comissão[Valor Previsto],[1]!Motor_Comissão[Chave], tb_Auditoria[[#This Row],[Nº CONTRATO]]&amp;"-"&amp;tb_Auditoria[[#This Row],[PARCELA ATUAL]])</f>
        <v>#REF!</v>
      </c>
      <c r="M466" s="19" t="e">
        <f>tb_Auditoria[[#This Row],[VALOR PAGO]] - tb_Auditoria[[#This Row],[VALOR ESPERADO]]</f>
        <v>#REF!</v>
      </c>
      <c r="N4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7" spans="1:15">
      <c r="A467" s="9">
        <v>1151537</v>
      </c>
      <c r="B467" s="10">
        <v>9</v>
      </c>
      <c r="C467" s="28">
        <v>2.2039999999999998E-3</v>
      </c>
      <c r="D467" s="12">
        <f>tb_Auditoria[[#This Row],[% TAXA RELATÓRIO]]*tb_Auditoria[[#This Row],[VALOR CRÉDITO]]</f>
        <v>661.19999999999993</v>
      </c>
      <c r="E467" s="13">
        <v>46161</v>
      </c>
      <c r="F467" s="13" t="s">
        <v>16</v>
      </c>
      <c r="G46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6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7" s="19">
        <f>IFERROR(INDEX([1]!tb_Vendas[Crédito],MATCH(tb_Auditoria[[#This Row],[Nº CONTRATO]],[1]!tb_Vendas[Nº Contrato],0)),0)</f>
        <v>300000</v>
      </c>
      <c r="K467" s="21">
        <f>IFERROR(tb_Auditoria[[#This Row],[VALOR ESPERADO]] / tb_Auditoria[[#This Row],[VALOR CRÉDITO]], 0)</f>
        <v>0</v>
      </c>
      <c r="L467" s="19" t="e">
        <f>SUMIFS([1]!Motor_Comissão[Valor Previsto],[1]!Motor_Comissão[Chave], tb_Auditoria[[#This Row],[Nº CONTRATO]]&amp;"-"&amp;tb_Auditoria[[#This Row],[PARCELA ATUAL]])</f>
        <v>#REF!</v>
      </c>
      <c r="M467" s="19" t="e">
        <f>tb_Auditoria[[#This Row],[VALOR PAGO]] - tb_Auditoria[[#This Row],[VALOR ESPERADO]]</f>
        <v>#REF!</v>
      </c>
      <c r="N4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8" spans="1:15">
      <c r="A468" s="9">
        <v>1151539</v>
      </c>
      <c r="B468" s="10">
        <v>9</v>
      </c>
      <c r="C468" s="28">
        <v>2.2039999999999998E-3</v>
      </c>
      <c r="D468" s="12">
        <f>tb_Auditoria[[#This Row],[% TAXA RELATÓRIO]]*tb_Auditoria[[#This Row],[VALOR CRÉDITO]]</f>
        <v>705.28</v>
      </c>
      <c r="E468" s="13">
        <v>46161</v>
      </c>
      <c r="F468" s="13" t="s">
        <v>16</v>
      </c>
      <c r="G46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GUSTAVO HENRIQUE CAPUTO BASTOS</v>
      </c>
      <c r="I46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8" s="19">
        <f>IFERROR(INDEX([1]!tb_Vendas[Crédito],MATCH(tb_Auditoria[[#This Row],[Nº CONTRATO]],[1]!tb_Vendas[Nº Contrato],0)),0)</f>
        <v>320000</v>
      </c>
      <c r="K468" s="21">
        <f>IFERROR(tb_Auditoria[[#This Row],[VALOR ESPERADO]] / tb_Auditoria[[#This Row],[VALOR CRÉDITO]], 0)</f>
        <v>0</v>
      </c>
      <c r="L468" s="19" t="e">
        <f>SUMIFS([1]!Motor_Comissão[Valor Previsto],[1]!Motor_Comissão[Chave], tb_Auditoria[[#This Row],[Nº CONTRATO]]&amp;"-"&amp;tb_Auditoria[[#This Row],[PARCELA ATUAL]])</f>
        <v>#REF!</v>
      </c>
      <c r="M468" s="19" t="e">
        <f>tb_Auditoria[[#This Row],[VALOR PAGO]] - tb_Auditoria[[#This Row],[VALOR ESPERADO]]</f>
        <v>#REF!</v>
      </c>
      <c r="N46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69" spans="1:15">
      <c r="A469" s="9">
        <v>1155903</v>
      </c>
      <c r="B469" s="10">
        <v>4</v>
      </c>
      <c r="C469" s="28">
        <v>4.4799999999999996E-3</v>
      </c>
      <c r="D469" s="12">
        <f>tb_Auditoria[[#This Row],[% TAXA RELATÓRIO]]*tb_Auditoria[[#This Row],[VALOR CRÉDITO]]</f>
        <v>1366.5154496</v>
      </c>
      <c r="E469" s="13">
        <v>46100</v>
      </c>
      <c r="F469" s="13" t="s">
        <v>17</v>
      </c>
      <c r="G46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6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6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69" s="19">
        <f>IFERROR(INDEX([1]!tb_Vendas[Crédito],MATCH(tb_Auditoria[[#This Row],[Nº CONTRATO]],[1]!tb_Vendas[Nº Contrato],0)),0)</f>
        <v>305025.77</v>
      </c>
      <c r="K469" s="21">
        <f>IFERROR(tb_Auditoria[[#This Row],[VALOR ESPERADO]] / tb_Auditoria[[#This Row],[VALOR CRÉDITO]], 0)</f>
        <v>0</v>
      </c>
      <c r="L469" s="19" t="e">
        <f>SUMIFS([1]!Motor_Comissão[Valor Previsto],[1]!Motor_Comissão[Chave], tb_Auditoria[[#This Row],[Nº CONTRATO]]&amp;"-"&amp;tb_Auditoria[[#This Row],[PARCELA ATUAL]])</f>
        <v>#REF!</v>
      </c>
      <c r="M469" s="19" t="e">
        <f>tb_Auditoria[[#This Row],[VALOR PAGO]] - tb_Auditoria[[#This Row],[VALOR ESPERADO]]</f>
        <v>#REF!</v>
      </c>
      <c r="N4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0" spans="1:15">
      <c r="A470" s="9">
        <v>1155903</v>
      </c>
      <c r="B470" s="10">
        <v>6</v>
      </c>
      <c r="C470" s="28">
        <v>4.4799999999999996E-3</v>
      </c>
      <c r="D470" s="12">
        <f>tb_Auditoria[[#This Row],[% TAXA RELATÓRIO]]*tb_Auditoria[[#This Row],[VALOR CRÉDITO]]</f>
        <v>1366.5154496</v>
      </c>
      <c r="E470" s="13">
        <v>46161</v>
      </c>
      <c r="F470" s="13" t="s">
        <v>17</v>
      </c>
      <c r="G47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7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0" s="19">
        <f>IFERROR(INDEX([1]!tb_Vendas[Crédito],MATCH(tb_Auditoria[[#This Row],[Nº CONTRATO]],[1]!tb_Vendas[Nº Contrato],0)),0)</f>
        <v>305025.77</v>
      </c>
      <c r="K470" s="21">
        <f>IFERROR(tb_Auditoria[[#This Row],[VALOR ESPERADO]] / tb_Auditoria[[#This Row],[VALOR CRÉDITO]], 0)</f>
        <v>0</v>
      </c>
      <c r="L470" s="19" t="e">
        <f>SUMIFS([1]!Motor_Comissão[Valor Previsto],[1]!Motor_Comissão[Chave], tb_Auditoria[[#This Row],[Nº CONTRATO]]&amp;"-"&amp;tb_Auditoria[[#This Row],[PARCELA ATUAL]])</f>
        <v>#REF!</v>
      </c>
      <c r="M470" s="19" t="e">
        <f>tb_Auditoria[[#This Row],[VALOR PAGO]] - tb_Auditoria[[#This Row],[VALOR ESPERADO]]</f>
        <v>#REF!</v>
      </c>
      <c r="N4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1" spans="1:15">
      <c r="A471" s="9">
        <v>1155903</v>
      </c>
      <c r="B471" s="10">
        <v>1</v>
      </c>
      <c r="C471" s="28">
        <v>4.4799999999999996E-3</v>
      </c>
      <c r="D471" s="12">
        <f>tb_Auditoria[[#This Row],[% TAXA RELATÓRIO]]*tb_Auditoria[[#This Row],[VALOR CRÉDITO]]</f>
        <v>1366.5154496</v>
      </c>
      <c r="E471" s="13">
        <v>46008</v>
      </c>
      <c r="F471" s="13" t="s">
        <v>17</v>
      </c>
      <c r="G47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7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1" s="19">
        <f>IFERROR(INDEX([1]!tb_Vendas[Crédito],MATCH(tb_Auditoria[[#This Row],[Nº CONTRATO]],[1]!tb_Vendas[Nº Contrato],0)),0)</f>
        <v>305025.77</v>
      </c>
      <c r="K471" s="21">
        <f>IFERROR(tb_Auditoria[[#This Row],[VALOR ESPERADO]] / tb_Auditoria[[#This Row],[VALOR CRÉDITO]], 0)</f>
        <v>0</v>
      </c>
      <c r="L471" s="19" t="e">
        <f>SUMIFS([1]!Motor_Comissão[Valor Previsto],[1]!Motor_Comissão[Chave], tb_Auditoria[[#This Row],[Nº CONTRATO]]&amp;"-"&amp;tb_Auditoria[[#This Row],[PARCELA ATUAL]])</f>
        <v>#REF!</v>
      </c>
      <c r="M471" s="19" t="e">
        <f>tb_Auditoria[[#This Row],[VALOR PAGO]] - tb_Auditoria[[#This Row],[VALOR ESPERADO]]</f>
        <v>#REF!</v>
      </c>
      <c r="N4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2" spans="1:15">
      <c r="A472" s="9">
        <v>1155903</v>
      </c>
      <c r="B472" s="10">
        <v>2</v>
      </c>
      <c r="C472" s="28">
        <v>4.4799999999999996E-3</v>
      </c>
      <c r="D472" s="12">
        <f>tb_Auditoria[[#This Row],[% TAXA RELATÓRIO]]*tb_Auditoria[[#This Row],[VALOR CRÉDITO]]</f>
        <v>1366.5154496</v>
      </c>
      <c r="E472" s="13">
        <v>46038</v>
      </c>
      <c r="F472" s="13" t="s">
        <v>17</v>
      </c>
      <c r="G47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7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2" s="19">
        <f>IFERROR(INDEX([1]!tb_Vendas[Crédito],MATCH(tb_Auditoria[[#This Row],[Nº CONTRATO]],[1]!tb_Vendas[Nº Contrato],0)),0)</f>
        <v>305025.77</v>
      </c>
      <c r="K472" s="21">
        <f>IFERROR(tb_Auditoria[[#This Row],[VALOR ESPERADO]] / tb_Auditoria[[#This Row],[VALOR CRÉDITO]], 0)</f>
        <v>0</v>
      </c>
      <c r="L472" s="19" t="e">
        <f>SUMIFS([1]!Motor_Comissão[Valor Previsto],[1]!Motor_Comissão[Chave], tb_Auditoria[[#This Row],[Nº CONTRATO]]&amp;"-"&amp;tb_Auditoria[[#This Row],[PARCELA ATUAL]])</f>
        <v>#REF!</v>
      </c>
      <c r="M472" s="19" t="e">
        <f>tb_Auditoria[[#This Row],[VALOR PAGO]] - tb_Auditoria[[#This Row],[VALOR ESPERADO]]</f>
        <v>#REF!</v>
      </c>
      <c r="N4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3" spans="1:15">
      <c r="A473" s="9">
        <v>1155903</v>
      </c>
      <c r="B473" s="10">
        <v>3</v>
      </c>
      <c r="C473" s="28">
        <v>4.4799999999999996E-3</v>
      </c>
      <c r="D473" s="12">
        <f>tb_Auditoria[[#This Row],[% TAXA RELATÓRIO]]*tb_Auditoria[[#This Row],[VALOR CRÉDITO]]</f>
        <v>1366.5154496</v>
      </c>
      <c r="E473" s="13">
        <v>46072</v>
      </c>
      <c r="F473" s="13" t="s">
        <v>17</v>
      </c>
      <c r="G47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7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3" s="19">
        <f>IFERROR(INDEX([1]!tb_Vendas[Crédito],MATCH(tb_Auditoria[[#This Row],[Nº CONTRATO]],[1]!tb_Vendas[Nº Contrato],0)),0)</f>
        <v>305025.77</v>
      </c>
      <c r="K473" s="21">
        <f>IFERROR(tb_Auditoria[[#This Row],[VALOR ESPERADO]] / tb_Auditoria[[#This Row],[VALOR CRÉDITO]], 0)</f>
        <v>0</v>
      </c>
      <c r="L473" s="19" t="e">
        <f>SUMIFS([1]!Motor_Comissão[Valor Previsto],[1]!Motor_Comissão[Chave], tb_Auditoria[[#This Row],[Nº CONTRATO]]&amp;"-"&amp;tb_Auditoria[[#This Row],[PARCELA ATUAL]])</f>
        <v>#REF!</v>
      </c>
      <c r="M473" s="19" t="e">
        <f>tb_Auditoria[[#This Row],[VALOR PAGO]] - tb_Auditoria[[#This Row],[VALOR ESPERADO]]</f>
        <v>#REF!</v>
      </c>
      <c r="N4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4" spans="1:15">
      <c r="A474" s="9">
        <v>1155903</v>
      </c>
      <c r="B474" s="10">
        <v>5</v>
      </c>
      <c r="C474" s="28">
        <v>4.4799999999999996E-3</v>
      </c>
      <c r="D474" s="12">
        <f>tb_Auditoria[[#This Row],[% TAXA RELATÓRIO]]*tb_Auditoria[[#This Row],[VALOR CRÉDITO]]</f>
        <v>1366.5154496</v>
      </c>
      <c r="E474" s="13">
        <v>46129</v>
      </c>
      <c r="F474" s="13" t="s">
        <v>17</v>
      </c>
      <c r="G47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7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4" s="19">
        <f>IFERROR(INDEX([1]!tb_Vendas[Crédito],MATCH(tb_Auditoria[[#This Row],[Nº CONTRATO]],[1]!tb_Vendas[Nº Contrato],0)),0)</f>
        <v>305025.77</v>
      </c>
      <c r="K474" s="21">
        <f>IFERROR(tb_Auditoria[[#This Row],[VALOR ESPERADO]] / tb_Auditoria[[#This Row],[VALOR CRÉDITO]], 0)</f>
        <v>0</v>
      </c>
      <c r="L474" s="19" t="e">
        <f>SUMIFS([1]!Motor_Comissão[Valor Previsto],[1]!Motor_Comissão[Chave], tb_Auditoria[[#This Row],[Nº CONTRATO]]&amp;"-"&amp;tb_Auditoria[[#This Row],[PARCELA ATUAL]])</f>
        <v>#REF!</v>
      </c>
      <c r="M474" s="19" t="e">
        <f>tb_Auditoria[[#This Row],[VALOR PAGO]] - tb_Auditoria[[#This Row],[VALOR ESPERADO]]</f>
        <v>#REF!</v>
      </c>
      <c r="N4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5" spans="1:15">
      <c r="A475" s="9">
        <v>1155906</v>
      </c>
      <c r="B475" s="10">
        <v>4</v>
      </c>
      <c r="C475" s="28">
        <v>4.4799999999999996E-3</v>
      </c>
      <c r="D475" s="12">
        <f>tb_Auditoria[[#This Row],[% TAXA RELATÓRIO]]*tb_Auditoria[[#This Row],[VALOR CRÉDITO]]</f>
        <v>1366.5154496</v>
      </c>
      <c r="E475" s="13">
        <v>46100</v>
      </c>
      <c r="F475" s="13" t="s">
        <v>17</v>
      </c>
      <c r="G47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7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5" s="19">
        <f>IFERROR(INDEX([1]!tb_Vendas[Crédito],MATCH(tb_Auditoria[[#This Row],[Nº CONTRATO]],[1]!tb_Vendas[Nº Contrato],0)),0)</f>
        <v>305025.77</v>
      </c>
      <c r="K475" s="21">
        <f>IFERROR(tb_Auditoria[[#This Row],[VALOR ESPERADO]] / tb_Auditoria[[#This Row],[VALOR CRÉDITO]], 0)</f>
        <v>0</v>
      </c>
      <c r="L475" s="19" t="e">
        <f>SUMIFS([1]!Motor_Comissão[Valor Previsto],[1]!Motor_Comissão[Chave], tb_Auditoria[[#This Row],[Nº CONTRATO]]&amp;"-"&amp;tb_Auditoria[[#This Row],[PARCELA ATUAL]])</f>
        <v>#REF!</v>
      </c>
      <c r="M475" s="19" t="e">
        <f>tb_Auditoria[[#This Row],[VALOR PAGO]] - tb_Auditoria[[#This Row],[VALOR ESPERADO]]</f>
        <v>#REF!</v>
      </c>
      <c r="N4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6" spans="1:15">
      <c r="A476" s="9">
        <v>1155906</v>
      </c>
      <c r="B476" s="10">
        <v>6</v>
      </c>
      <c r="C476" s="28">
        <v>4.4799999999999996E-3</v>
      </c>
      <c r="D476" s="12">
        <f>tb_Auditoria[[#This Row],[% TAXA RELATÓRIO]]*tb_Auditoria[[#This Row],[VALOR CRÉDITO]]</f>
        <v>1366.5154496</v>
      </c>
      <c r="E476" s="13">
        <v>46161</v>
      </c>
      <c r="F476" s="13" t="s">
        <v>17</v>
      </c>
      <c r="G47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7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6" s="19">
        <f>IFERROR(INDEX([1]!tb_Vendas[Crédito],MATCH(tb_Auditoria[[#This Row],[Nº CONTRATO]],[1]!tb_Vendas[Nº Contrato],0)),0)</f>
        <v>305025.77</v>
      </c>
      <c r="K476" s="21">
        <f>IFERROR(tb_Auditoria[[#This Row],[VALOR ESPERADO]] / tb_Auditoria[[#This Row],[VALOR CRÉDITO]], 0)</f>
        <v>0</v>
      </c>
      <c r="L476" s="19" t="e">
        <f>SUMIFS([1]!Motor_Comissão[Valor Previsto],[1]!Motor_Comissão[Chave], tb_Auditoria[[#This Row],[Nº CONTRATO]]&amp;"-"&amp;tb_Auditoria[[#This Row],[PARCELA ATUAL]])</f>
        <v>#REF!</v>
      </c>
      <c r="M476" s="19" t="e">
        <f>tb_Auditoria[[#This Row],[VALOR PAGO]] - tb_Auditoria[[#This Row],[VALOR ESPERADO]]</f>
        <v>#REF!</v>
      </c>
      <c r="N4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7" spans="1:15">
      <c r="A477" s="9">
        <v>1155906</v>
      </c>
      <c r="B477" s="10">
        <v>1</v>
      </c>
      <c r="C477" s="28">
        <v>4.4799999999999996E-3</v>
      </c>
      <c r="D477" s="12">
        <f>tb_Auditoria[[#This Row],[% TAXA RELATÓRIO]]*tb_Auditoria[[#This Row],[VALOR CRÉDITO]]</f>
        <v>1366.5154496</v>
      </c>
      <c r="E477" s="13">
        <v>46008</v>
      </c>
      <c r="F477" s="13" t="s">
        <v>17</v>
      </c>
      <c r="G47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7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7" s="19">
        <f>IFERROR(INDEX([1]!tb_Vendas[Crédito],MATCH(tb_Auditoria[[#This Row],[Nº CONTRATO]],[1]!tb_Vendas[Nº Contrato],0)),0)</f>
        <v>305025.77</v>
      </c>
      <c r="K477" s="21">
        <f>IFERROR(tb_Auditoria[[#This Row],[VALOR ESPERADO]] / tb_Auditoria[[#This Row],[VALOR CRÉDITO]], 0)</f>
        <v>0</v>
      </c>
      <c r="L477" s="19" t="e">
        <f>SUMIFS([1]!Motor_Comissão[Valor Previsto],[1]!Motor_Comissão[Chave], tb_Auditoria[[#This Row],[Nº CONTRATO]]&amp;"-"&amp;tb_Auditoria[[#This Row],[PARCELA ATUAL]])</f>
        <v>#REF!</v>
      </c>
      <c r="M477" s="19" t="e">
        <f>tb_Auditoria[[#This Row],[VALOR PAGO]] - tb_Auditoria[[#This Row],[VALOR ESPERADO]]</f>
        <v>#REF!</v>
      </c>
      <c r="N4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8" spans="1:15">
      <c r="A478" s="9">
        <v>1155906</v>
      </c>
      <c r="B478" s="10">
        <v>2</v>
      </c>
      <c r="C478" s="28">
        <v>4.4799999999999996E-3</v>
      </c>
      <c r="D478" s="12">
        <f>tb_Auditoria[[#This Row],[% TAXA RELATÓRIO]]*tb_Auditoria[[#This Row],[VALOR CRÉDITO]]</f>
        <v>1366.5154496</v>
      </c>
      <c r="E478" s="13">
        <v>46038</v>
      </c>
      <c r="F478" s="13" t="s">
        <v>17</v>
      </c>
      <c r="G47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7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8" s="19">
        <f>IFERROR(INDEX([1]!tb_Vendas[Crédito],MATCH(tb_Auditoria[[#This Row],[Nº CONTRATO]],[1]!tb_Vendas[Nº Contrato],0)),0)</f>
        <v>305025.77</v>
      </c>
      <c r="K478" s="21">
        <f>IFERROR(tb_Auditoria[[#This Row],[VALOR ESPERADO]] / tb_Auditoria[[#This Row],[VALOR CRÉDITO]], 0)</f>
        <v>0</v>
      </c>
      <c r="L478" s="19" t="e">
        <f>SUMIFS([1]!Motor_Comissão[Valor Previsto],[1]!Motor_Comissão[Chave], tb_Auditoria[[#This Row],[Nº CONTRATO]]&amp;"-"&amp;tb_Auditoria[[#This Row],[PARCELA ATUAL]])</f>
        <v>#REF!</v>
      </c>
      <c r="M478" s="19" t="e">
        <f>tb_Auditoria[[#This Row],[VALOR PAGO]] - tb_Auditoria[[#This Row],[VALOR ESPERADO]]</f>
        <v>#REF!</v>
      </c>
      <c r="N4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79" spans="1:15">
      <c r="A479" s="9">
        <v>1155906</v>
      </c>
      <c r="B479" s="10">
        <v>3</v>
      </c>
      <c r="C479" s="28">
        <v>4.4799999999999996E-3</v>
      </c>
      <c r="D479" s="12">
        <f>tb_Auditoria[[#This Row],[% TAXA RELATÓRIO]]*tb_Auditoria[[#This Row],[VALOR CRÉDITO]]</f>
        <v>1366.5154496</v>
      </c>
      <c r="E479" s="13">
        <v>46072</v>
      </c>
      <c r="F479" s="13" t="s">
        <v>17</v>
      </c>
      <c r="G47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7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7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79" s="19">
        <f>IFERROR(INDEX([1]!tb_Vendas[Crédito],MATCH(tb_Auditoria[[#This Row],[Nº CONTRATO]],[1]!tb_Vendas[Nº Contrato],0)),0)</f>
        <v>305025.77</v>
      </c>
      <c r="K479" s="21">
        <f>IFERROR(tb_Auditoria[[#This Row],[VALOR ESPERADO]] / tb_Auditoria[[#This Row],[VALOR CRÉDITO]], 0)</f>
        <v>0</v>
      </c>
      <c r="L479" s="19" t="e">
        <f>SUMIFS([1]!Motor_Comissão[Valor Previsto],[1]!Motor_Comissão[Chave], tb_Auditoria[[#This Row],[Nº CONTRATO]]&amp;"-"&amp;tb_Auditoria[[#This Row],[PARCELA ATUAL]])</f>
        <v>#REF!</v>
      </c>
      <c r="M479" s="19" t="e">
        <f>tb_Auditoria[[#This Row],[VALOR PAGO]] - tb_Auditoria[[#This Row],[VALOR ESPERADO]]</f>
        <v>#REF!</v>
      </c>
      <c r="N4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0" spans="1:15">
      <c r="A480" s="9">
        <v>1155906</v>
      </c>
      <c r="B480" s="10">
        <v>5</v>
      </c>
      <c r="C480" s="28">
        <v>4.4799999999999996E-3</v>
      </c>
      <c r="D480" s="12">
        <f>tb_Auditoria[[#This Row],[% TAXA RELATÓRIO]]*tb_Auditoria[[#This Row],[VALOR CRÉDITO]]</f>
        <v>1366.5154496</v>
      </c>
      <c r="E480" s="13">
        <v>46129</v>
      </c>
      <c r="F480" s="13" t="s">
        <v>17</v>
      </c>
      <c r="G48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8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0" s="19">
        <f>IFERROR(INDEX([1]!tb_Vendas[Crédito],MATCH(tb_Auditoria[[#This Row],[Nº CONTRATO]],[1]!tb_Vendas[Nº Contrato],0)),0)</f>
        <v>305025.77</v>
      </c>
      <c r="K480" s="21">
        <f>IFERROR(tb_Auditoria[[#This Row],[VALOR ESPERADO]] / tb_Auditoria[[#This Row],[VALOR CRÉDITO]], 0)</f>
        <v>0</v>
      </c>
      <c r="L480" s="19" t="e">
        <f>SUMIFS([1]!Motor_Comissão[Valor Previsto],[1]!Motor_Comissão[Chave], tb_Auditoria[[#This Row],[Nº CONTRATO]]&amp;"-"&amp;tb_Auditoria[[#This Row],[PARCELA ATUAL]])</f>
        <v>#REF!</v>
      </c>
      <c r="M480" s="19" t="e">
        <f>tb_Auditoria[[#This Row],[VALOR PAGO]] - tb_Auditoria[[#This Row],[VALOR ESPERADO]]</f>
        <v>#REF!</v>
      </c>
      <c r="N4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1" spans="1:15">
      <c r="A481" s="9">
        <v>1155909</v>
      </c>
      <c r="B481" s="10">
        <v>4</v>
      </c>
      <c r="C481" s="28">
        <v>4.4799999999999996E-3</v>
      </c>
      <c r="D481" s="12">
        <f>tb_Auditoria[[#This Row],[% TAXA RELATÓRIO]]*tb_Auditoria[[#This Row],[VALOR CRÉDITO]]</f>
        <v>1366.5154496</v>
      </c>
      <c r="E481" s="13">
        <v>46100</v>
      </c>
      <c r="F481" s="13" t="s">
        <v>17</v>
      </c>
      <c r="G48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8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1" s="19">
        <f>IFERROR(INDEX([1]!tb_Vendas[Crédito],MATCH(tb_Auditoria[[#This Row],[Nº CONTRATO]],[1]!tb_Vendas[Nº Contrato],0)),0)</f>
        <v>305025.77</v>
      </c>
      <c r="K481" s="21">
        <f>IFERROR(tb_Auditoria[[#This Row],[VALOR ESPERADO]] / tb_Auditoria[[#This Row],[VALOR CRÉDITO]], 0)</f>
        <v>0</v>
      </c>
      <c r="L481" s="19" t="e">
        <f>SUMIFS([1]!Motor_Comissão[Valor Previsto],[1]!Motor_Comissão[Chave], tb_Auditoria[[#This Row],[Nº CONTRATO]]&amp;"-"&amp;tb_Auditoria[[#This Row],[PARCELA ATUAL]])</f>
        <v>#REF!</v>
      </c>
      <c r="M481" s="19" t="e">
        <f>tb_Auditoria[[#This Row],[VALOR PAGO]] - tb_Auditoria[[#This Row],[VALOR ESPERADO]]</f>
        <v>#REF!</v>
      </c>
      <c r="N4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2" spans="1:15">
      <c r="A482" s="9">
        <v>1155909</v>
      </c>
      <c r="B482" s="10">
        <v>6</v>
      </c>
      <c r="C482" s="28">
        <v>4.4799999999999996E-3</v>
      </c>
      <c r="D482" s="12">
        <f>tb_Auditoria[[#This Row],[% TAXA RELATÓRIO]]*tb_Auditoria[[#This Row],[VALOR CRÉDITO]]</f>
        <v>1366.5154496</v>
      </c>
      <c r="E482" s="13">
        <v>46161</v>
      </c>
      <c r="F482" s="13" t="s">
        <v>17</v>
      </c>
      <c r="G48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8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2" s="19">
        <f>IFERROR(INDEX([1]!tb_Vendas[Crédito],MATCH(tb_Auditoria[[#This Row],[Nº CONTRATO]],[1]!tb_Vendas[Nº Contrato],0)),0)</f>
        <v>305025.77</v>
      </c>
      <c r="K482" s="21">
        <f>IFERROR(tb_Auditoria[[#This Row],[VALOR ESPERADO]] / tb_Auditoria[[#This Row],[VALOR CRÉDITO]], 0)</f>
        <v>0</v>
      </c>
      <c r="L482" s="19" t="e">
        <f>SUMIFS([1]!Motor_Comissão[Valor Previsto],[1]!Motor_Comissão[Chave], tb_Auditoria[[#This Row],[Nº CONTRATO]]&amp;"-"&amp;tb_Auditoria[[#This Row],[PARCELA ATUAL]])</f>
        <v>#REF!</v>
      </c>
      <c r="M482" s="19" t="e">
        <f>tb_Auditoria[[#This Row],[VALOR PAGO]] - tb_Auditoria[[#This Row],[VALOR ESPERADO]]</f>
        <v>#REF!</v>
      </c>
      <c r="N4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3" spans="1:15">
      <c r="A483" s="9">
        <v>1155909</v>
      </c>
      <c r="B483" s="10">
        <v>1</v>
      </c>
      <c r="C483" s="28">
        <v>4.4799999999999996E-3</v>
      </c>
      <c r="D483" s="12">
        <f>tb_Auditoria[[#This Row],[% TAXA RELATÓRIO]]*tb_Auditoria[[#This Row],[VALOR CRÉDITO]]</f>
        <v>1366.5154496</v>
      </c>
      <c r="E483" s="13">
        <v>46008</v>
      </c>
      <c r="F483" s="13" t="s">
        <v>17</v>
      </c>
      <c r="G48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8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3" s="19">
        <f>IFERROR(INDEX([1]!tb_Vendas[Crédito],MATCH(tb_Auditoria[[#This Row],[Nº CONTRATO]],[1]!tb_Vendas[Nº Contrato],0)),0)</f>
        <v>305025.77</v>
      </c>
      <c r="K483" s="21">
        <f>IFERROR(tb_Auditoria[[#This Row],[VALOR ESPERADO]] / tb_Auditoria[[#This Row],[VALOR CRÉDITO]], 0)</f>
        <v>0</v>
      </c>
      <c r="L483" s="19" t="e">
        <f>SUMIFS([1]!Motor_Comissão[Valor Previsto],[1]!Motor_Comissão[Chave], tb_Auditoria[[#This Row],[Nº CONTRATO]]&amp;"-"&amp;tb_Auditoria[[#This Row],[PARCELA ATUAL]])</f>
        <v>#REF!</v>
      </c>
      <c r="M483" s="19" t="e">
        <f>tb_Auditoria[[#This Row],[VALOR PAGO]] - tb_Auditoria[[#This Row],[VALOR ESPERADO]]</f>
        <v>#REF!</v>
      </c>
      <c r="N4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4" spans="1:15">
      <c r="A484" s="9">
        <v>1155909</v>
      </c>
      <c r="B484" s="10">
        <v>2</v>
      </c>
      <c r="C484" s="28">
        <v>4.4799999999999996E-3</v>
      </c>
      <c r="D484" s="12">
        <f>tb_Auditoria[[#This Row],[% TAXA RELATÓRIO]]*tb_Auditoria[[#This Row],[VALOR CRÉDITO]]</f>
        <v>1366.5154496</v>
      </c>
      <c r="E484" s="13">
        <v>46038</v>
      </c>
      <c r="F484" s="13" t="s">
        <v>17</v>
      </c>
      <c r="G48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8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4" s="19">
        <f>IFERROR(INDEX([1]!tb_Vendas[Crédito],MATCH(tb_Auditoria[[#This Row],[Nº CONTRATO]],[1]!tb_Vendas[Nº Contrato],0)),0)</f>
        <v>305025.77</v>
      </c>
      <c r="K484" s="21">
        <f>IFERROR(tb_Auditoria[[#This Row],[VALOR ESPERADO]] / tb_Auditoria[[#This Row],[VALOR CRÉDITO]], 0)</f>
        <v>0</v>
      </c>
      <c r="L484" s="19" t="e">
        <f>SUMIFS([1]!Motor_Comissão[Valor Previsto],[1]!Motor_Comissão[Chave], tb_Auditoria[[#This Row],[Nº CONTRATO]]&amp;"-"&amp;tb_Auditoria[[#This Row],[PARCELA ATUAL]])</f>
        <v>#REF!</v>
      </c>
      <c r="M484" s="19" t="e">
        <f>tb_Auditoria[[#This Row],[VALOR PAGO]] - tb_Auditoria[[#This Row],[VALOR ESPERADO]]</f>
        <v>#REF!</v>
      </c>
      <c r="N4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5" spans="1:15">
      <c r="A485" s="9">
        <v>1155909</v>
      </c>
      <c r="B485" s="10">
        <v>3</v>
      </c>
      <c r="C485" s="28">
        <v>4.4799999999999996E-3</v>
      </c>
      <c r="D485" s="12">
        <f>tb_Auditoria[[#This Row],[% TAXA RELATÓRIO]]*tb_Auditoria[[#This Row],[VALOR CRÉDITO]]</f>
        <v>1366.5154496</v>
      </c>
      <c r="E485" s="13">
        <v>46072</v>
      </c>
      <c r="F485" s="13" t="s">
        <v>17</v>
      </c>
      <c r="G48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8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5" s="19">
        <f>IFERROR(INDEX([1]!tb_Vendas[Crédito],MATCH(tb_Auditoria[[#This Row],[Nº CONTRATO]],[1]!tb_Vendas[Nº Contrato],0)),0)</f>
        <v>305025.77</v>
      </c>
      <c r="K485" s="21">
        <f>IFERROR(tb_Auditoria[[#This Row],[VALOR ESPERADO]] / tb_Auditoria[[#This Row],[VALOR CRÉDITO]], 0)</f>
        <v>0</v>
      </c>
      <c r="L485" s="19" t="e">
        <f>SUMIFS([1]!Motor_Comissão[Valor Previsto],[1]!Motor_Comissão[Chave], tb_Auditoria[[#This Row],[Nº CONTRATO]]&amp;"-"&amp;tb_Auditoria[[#This Row],[PARCELA ATUAL]])</f>
        <v>#REF!</v>
      </c>
      <c r="M485" s="19" t="e">
        <f>tb_Auditoria[[#This Row],[VALOR PAGO]] - tb_Auditoria[[#This Row],[VALOR ESPERADO]]</f>
        <v>#REF!</v>
      </c>
      <c r="N4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6" spans="1:15">
      <c r="A486" s="9">
        <v>1155909</v>
      </c>
      <c r="B486" s="10">
        <v>5</v>
      </c>
      <c r="C486" s="28">
        <v>4.4799999999999996E-3</v>
      </c>
      <c r="D486" s="12">
        <f>tb_Auditoria[[#This Row],[% TAXA RELATÓRIO]]*tb_Auditoria[[#This Row],[VALOR CRÉDITO]]</f>
        <v>1366.5154496</v>
      </c>
      <c r="E486" s="13">
        <v>46129</v>
      </c>
      <c r="F486" s="13" t="s">
        <v>17</v>
      </c>
      <c r="G48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8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6" s="19">
        <f>IFERROR(INDEX([1]!tb_Vendas[Crédito],MATCH(tb_Auditoria[[#This Row],[Nº CONTRATO]],[1]!tb_Vendas[Nº Contrato],0)),0)</f>
        <v>305025.77</v>
      </c>
      <c r="K486" s="21">
        <f>IFERROR(tb_Auditoria[[#This Row],[VALOR ESPERADO]] / tb_Auditoria[[#This Row],[VALOR CRÉDITO]], 0)</f>
        <v>0</v>
      </c>
      <c r="L486" s="19" t="e">
        <f>SUMIFS([1]!Motor_Comissão[Valor Previsto],[1]!Motor_Comissão[Chave], tb_Auditoria[[#This Row],[Nº CONTRATO]]&amp;"-"&amp;tb_Auditoria[[#This Row],[PARCELA ATUAL]])</f>
        <v>#REF!</v>
      </c>
      <c r="M486" s="19" t="e">
        <f>tb_Auditoria[[#This Row],[VALOR PAGO]] - tb_Auditoria[[#This Row],[VALOR ESPERADO]]</f>
        <v>#REF!</v>
      </c>
      <c r="N4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7" spans="1:15">
      <c r="A487" s="9">
        <v>1155914</v>
      </c>
      <c r="B487" s="10">
        <v>4</v>
      </c>
      <c r="C487" s="28">
        <v>4.4799999999999996E-3</v>
      </c>
      <c r="D487" s="12">
        <f>tb_Auditoria[[#This Row],[% TAXA RELATÓRIO]]*tb_Auditoria[[#This Row],[VALOR CRÉDITO]]</f>
        <v>1366.5154496</v>
      </c>
      <c r="E487" s="13">
        <v>46100</v>
      </c>
      <c r="F487" s="13" t="s">
        <v>17</v>
      </c>
      <c r="G48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8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7" s="19">
        <f>IFERROR(INDEX([1]!tb_Vendas[Crédito],MATCH(tb_Auditoria[[#This Row],[Nº CONTRATO]],[1]!tb_Vendas[Nº Contrato],0)),0)</f>
        <v>305025.77</v>
      </c>
      <c r="K487" s="21">
        <f>IFERROR(tb_Auditoria[[#This Row],[VALOR ESPERADO]] / tb_Auditoria[[#This Row],[VALOR CRÉDITO]], 0)</f>
        <v>0</v>
      </c>
      <c r="L487" s="19" t="e">
        <f>SUMIFS([1]!Motor_Comissão[Valor Previsto],[1]!Motor_Comissão[Chave], tb_Auditoria[[#This Row],[Nº CONTRATO]]&amp;"-"&amp;tb_Auditoria[[#This Row],[PARCELA ATUAL]])</f>
        <v>#REF!</v>
      </c>
      <c r="M487" s="19" t="e">
        <f>tb_Auditoria[[#This Row],[VALOR PAGO]] - tb_Auditoria[[#This Row],[VALOR ESPERADO]]</f>
        <v>#REF!</v>
      </c>
      <c r="N4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8" spans="1:15">
      <c r="A488" s="9">
        <v>1155914</v>
      </c>
      <c r="B488" s="10">
        <v>6</v>
      </c>
      <c r="C488" s="28">
        <v>4.4799999999999996E-3</v>
      </c>
      <c r="D488" s="12">
        <f>tb_Auditoria[[#This Row],[% TAXA RELATÓRIO]]*tb_Auditoria[[#This Row],[VALOR CRÉDITO]]</f>
        <v>1366.5154496</v>
      </c>
      <c r="E488" s="13">
        <v>46161</v>
      </c>
      <c r="F488" s="13" t="s">
        <v>17</v>
      </c>
      <c r="G48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8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8" s="19">
        <f>IFERROR(INDEX([1]!tb_Vendas[Crédito],MATCH(tb_Auditoria[[#This Row],[Nº CONTRATO]],[1]!tb_Vendas[Nº Contrato],0)),0)</f>
        <v>305025.77</v>
      </c>
      <c r="K488" s="21">
        <f>IFERROR(tb_Auditoria[[#This Row],[VALOR ESPERADO]] / tb_Auditoria[[#This Row],[VALOR CRÉDITO]], 0)</f>
        <v>0</v>
      </c>
      <c r="L488" s="19" t="e">
        <f>SUMIFS([1]!Motor_Comissão[Valor Previsto],[1]!Motor_Comissão[Chave], tb_Auditoria[[#This Row],[Nº CONTRATO]]&amp;"-"&amp;tb_Auditoria[[#This Row],[PARCELA ATUAL]])</f>
        <v>#REF!</v>
      </c>
      <c r="M488" s="19" t="e">
        <f>tb_Auditoria[[#This Row],[VALOR PAGO]] - tb_Auditoria[[#This Row],[VALOR ESPERADO]]</f>
        <v>#REF!</v>
      </c>
      <c r="N4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89" spans="1:15">
      <c r="A489" s="9">
        <v>1155914</v>
      </c>
      <c r="B489" s="10">
        <v>1</v>
      </c>
      <c r="C489" s="28">
        <v>4.4799999999999996E-3</v>
      </c>
      <c r="D489" s="12">
        <f>tb_Auditoria[[#This Row],[% TAXA RELATÓRIO]]*tb_Auditoria[[#This Row],[VALOR CRÉDITO]]</f>
        <v>1366.5154496</v>
      </c>
      <c r="E489" s="13">
        <v>46008</v>
      </c>
      <c r="F489" s="13" t="s">
        <v>17</v>
      </c>
      <c r="G48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8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8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89" s="19">
        <f>IFERROR(INDEX([1]!tb_Vendas[Crédito],MATCH(tb_Auditoria[[#This Row],[Nº CONTRATO]],[1]!tb_Vendas[Nº Contrato],0)),0)</f>
        <v>305025.77</v>
      </c>
      <c r="K489" s="21">
        <f>IFERROR(tb_Auditoria[[#This Row],[VALOR ESPERADO]] / tb_Auditoria[[#This Row],[VALOR CRÉDITO]], 0)</f>
        <v>0</v>
      </c>
      <c r="L489" s="19" t="e">
        <f>SUMIFS([1]!Motor_Comissão[Valor Previsto],[1]!Motor_Comissão[Chave], tb_Auditoria[[#This Row],[Nº CONTRATO]]&amp;"-"&amp;tb_Auditoria[[#This Row],[PARCELA ATUAL]])</f>
        <v>#REF!</v>
      </c>
      <c r="M489" s="19" t="e">
        <f>tb_Auditoria[[#This Row],[VALOR PAGO]] - tb_Auditoria[[#This Row],[VALOR ESPERADO]]</f>
        <v>#REF!</v>
      </c>
      <c r="N4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0" spans="1:15">
      <c r="A490" s="9">
        <v>1155914</v>
      </c>
      <c r="B490" s="10">
        <v>2</v>
      </c>
      <c r="C490" s="28">
        <v>4.4799999999999996E-3</v>
      </c>
      <c r="D490" s="12">
        <f>tb_Auditoria[[#This Row],[% TAXA RELATÓRIO]]*tb_Auditoria[[#This Row],[VALOR CRÉDITO]]</f>
        <v>1366.5154496</v>
      </c>
      <c r="E490" s="13">
        <v>46038</v>
      </c>
      <c r="F490" s="13" t="s">
        <v>17</v>
      </c>
      <c r="G49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9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0" s="19">
        <f>IFERROR(INDEX([1]!tb_Vendas[Crédito],MATCH(tb_Auditoria[[#This Row],[Nº CONTRATO]],[1]!tb_Vendas[Nº Contrato],0)),0)</f>
        <v>305025.77</v>
      </c>
      <c r="K490" s="21">
        <f>IFERROR(tb_Auditoria[[#This Row],[VALOR ESPERADO]] / tb_Auditoria[[#This Row],[VALOR CRÉDITO]], 0)</f>
        <v>0</v>
      </c>
      <c r="L490" s="19" t="e">
        <f>SUMIFS([1]!Motor_Comissão[Valor Previsto],[1]!Motor_Comissão[Chave], tb_Auditoria[[#This Row],[Nº CONTRATO]]&amp;"-"&amp;tb_Auditoria[[#This Row],[PARCELA ATUAL]])</f>
        <v>#REF!</v>
      </c>
      <c r="M490" s="19" t="e">
        <f>tb_Auditoria[[#This Row],[VALOR PAGO]] - tb_Auditoria[[#This Row],[VALOR ESPERADO]]</f>
        <v>#REF!</v>
      </c>
      <c r="N4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1" spans="1:15">
      <c r="A491" s="9">
        <v>1155914</v>
      </c>
      <c r="B491" s="10">
        <v>3</v>
      </c>
      <c r="C491" s="28">
        <v>4.4799999999999996E-3</v>
      </c>
      <c r="D491" s="12">
        <f>tb_Auditoria[[#This Row],[% TAXA RELATÓRIO]]*tb_Auditoria[[#This Row],[VALOR CRÉDITO]]</f>
        <v>1366.5154496</v>
      </c>
      <c r="E491" s="13">
        <v>46072</v>
      </c>
      <c r="F491" s="13" t="s">
        <v>17</v>
      </c>
      <c r="G49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9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1" s="19">
        <f>IFERROR(INDEX([1]!tb_Vendas[Crédito],MATCH(tb_Auditoria[[#This Row],[Nº CONTRATO]],[1]!tb_Vendas[Nº Contrato],0)),0)</f>
        <v>305025.77</v>
      </c>
      <c r="K491" s="21">
        <f>IFERROR(tb_Auditoria[[#This Row],[VALOR ESPERADO]] / tb_Auditoria[[#This Row],[VALOR CRÉDITO]], 0)</f>
        <v>0</v>
      </c>
      <c r="L491" s="19" t="e">
        <f>SUMIFS([1]!Motor_Comissão[Valor Previsto],[1]!Motor_Comissão[Chave], tb_Auditoria[[#This Row],[Nº CONTRATO]]&amp;"-"&amp;tb_Auditoria[[#This Row],[PARCELA ATUAL]])</f>
        <v>#REF!</v>
      </c>
      <c r="M491" s="19" t="e">
        <f>tb_Auditoria[[#This Row],[VALOR PAGO]] - tb_Auditoria[[#This Row],[VALOR ESPERADO]]</f>
        <v>#REF!</v>
      </c>
      <c r="N4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2" spans="1:15">
      <c r="A492" s="9">
        <v>1155914</v>
      </c>
      <c r="B492" s="10">
        <v>5</v>
      </c>
      <c r="C492" s="28">
        <v>4.4799999999999996E-3</v>
      </c>
      <c r="D492" s="12">
        <f>tb_Auditoria[[#This Row],[% TAXA RELATÓRIO]]*tb_Auditoria[[#This Row],[VALOR CRÉDITO]]</f>
        <v>1366.5154496</v>
      </c>
      <c r="E492" s="13">
        <v>46129</v>
      </c>
      <c r="F492" s="13" t="s">
        <v>17</v>
      </c>
      <c r="G49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9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2" s="19">
        <f>IFERROR(INDEX([1]!tb_Vendas[Crédito],MATCH(tb_Auditoria[[#This Row],[Nº CONTRATO]],[1]!tb_Vendas[Nº Contrato],0)),0)</f>
        <v>305025.77</v>
      </c>
      <c r="K492" s="21">
        <f>IFERROR(tb_Auditoria[[#This Row],[VALOR ESPERADO]] / tb_Auditoria[[#This Row],[VALOR CRÉDITO]], 0)</f>
        <v>0</v>
      </c>
      <c r="L492" s="19" t="e">
        <f>SUMIFS([1]!Motor_Comissão[Valor Previsto],[1]!Motor_Comissão[Chave], tb_Auditoria[[#This Row],[Nº CONTRATO]]&amp;"-"&amp;tb_Auditoria[[#This Row],[PARCELA ATUAL]])</f>
        <v>#REF!</v>
      </c>
      <c r="M492" s="19" t="e">
        <f>tb_Auditoria[[#This Row],[VALOR PAGO]] - tb_Auditoria[[#This Row],[VALOR ESPERADO]]</f>
        <v>#REF!</v>
      </c>
      <c r="N4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3" spans="1:15">
      <c r="A493" s="9">
        <v>1155917</v>
      </c>
      <c r="B493" s="10">
        <v>4</v>
      </c>
      <c r="C493" s="28">
        <v>4.4799999999999996E-3</v>
      </c>
      <c r="D493" s="12">
        <f>tb_Auditoria[[#This Row],[% TAXA RELATÓRIO]]*tb_Auditoria[[#This Row],[VALOR CRÉDITO]]</f>
        <v>1366.5154496</v>
      </c>
      <c r="E493" s="13">
        <v>46100</v>
      </c>
      <c r="F493" s="13" t="s">
        <v>17</v>
      </c>
      <c r="G49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9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3" s="19">
        <f>IFERROR(INDEX([1]!tb_Vendas[Crédito],MATCH(tb_Auditoria[[#This Row],[Nº CONTRATO]],[1]!tb_Vendas[Nº Contrato],0)),0)</f>
        <v>305025.77</v>
      </c>
      <c r="K493" s="21">
        <f>IFERROR(tb_Auditoria[[#This Row],[VALOR ESPERADO]] / tb_Auditoria[[#This Row],[VALOR CRÉDITO]], 0)</f>
        <v>0</v>
      </c>
      <c r="L493" s="19" t="e">
        <f>SUMIFS([1]!Motor_Comissão[Valor Previsto],[1]!Motor_Comissão[Chave], tb_Auditoria[[#This Row],[Nº CONTRATO]]&amp;"-"&amp;tb_Auditoria[[#This Row],[PARCELA ATUAL]])</f>
        <v>#REF!</v>
      </c>
      <c r="M493" s="19" t="e">
        <f>tb_Auditoria[[#This Row],[VALOR PAGO]] - tb_Auditoria[[#This Row],[VALOR ESPERADO]]</f>
        <v>#REF!</v>
      </c>
      <c r="N4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4" spans="1:15">
      <c r="A494" s="9">
        <v>1155917</v>
      </c>
      <c r="B494" s="10">
        <v>6</v>
      </c>
      <c r="C494" s="28">
        <v>4.4799999999999996E-3</v>
      </c>
      <c r="D494" s="12">
        <f>tb_Auditoria[[#This Row],[% TAXA RELATÓRIO]]*tb_Auditoria[[#This Row],[VALOR CRÉDITO]]</f>
        <v>1366.5154496</v>
      </c>
      <c r="E494" s="13">
        <v>46161</v>
      </c>
      <c r="F494" s="13" t="s">
        <v>17</v>
      </c>
      <c r="G49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9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4" s="19">
        <f>IFERROR(INDEX([1]!tb_Vendas[Crédito],MATCH(tb_Auditoria[[#This Row],[Nº CONTRATO]],[1]!tb_Vendas[Nº Contrato],0)),0)</f>
        <v>305025.77</v>
      </c>
      <c r="K494" s="21">
        <f>IFERROR(tb_Auditoria[[#This Row],[VALOR ESPERADO]] / tb_Auditoria[[#This Row],[VALOR CRÉDITO]], 0)</f>
        <v>0</v>
      </c>
      <c r="L494" s="19" t="e">
        <f>SUMIFS([1]!Motor_Comissão[Valor Previsto],[1]!Motor_Comissão[Chave], tb_Auditoria[[#This Row],[Nº CONTRATO]]&amp;"-"&amp;tb_Auditoria[[#This Row],[PARCELA ATUAL]])</f>
        <v>#REF!</v>
      </c>
      <c r="M494" s="19" t="e">
        <f>tb_Auditoria[[#This Row],[VALOR PAGO]] - tb_Auditoria[[#This Row],[VALOR ESPERADO]]</f>
        <v>#REF!</v>
      </c>
      <c r="N49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5" spans="1:15">
      <c r="A495" s="9">
        <v>1155917</v>
      </c>
      <c r="B495" s="10">
        <v>1</v>
      </c>
      <c r="C495" s="28">
        <v>4.4799999999999996E-3</v>
      </c>
      <c r="D495" s="12">
        <f>tb_Auditoria[[#This Row],[% TAXA RELATÓRIO]]*tb_Auditoria[[#This Row],[VALOR CRÉDITO]]</f>
        <v>1366.5154496</v>
      </c>
      <c r="E495" s="13">
        <v>46008</v>
      </c>
      <c r="F495" s="13" t="s">
        <v>17</v>
      </c>
      <c r="G49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9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5" s="19">
        <f>IFERROR(INDEX([1]!tb_Vendas[Crédito],MATCH(tb_Auditoria[[#This Row],[Nº CONTRATO]],[1]!tb_Vendas[Nº Contrato],0)),0)</f>
        <v>305025.77</v>
      </c>
      <c r="K495" s="21">
        <f>IFERROR(tb_Auditoria[[#This Row],[VALOR ESPERADO]] / tb_Auditoria[[#This Row],[VALOR CRÉDITO]], 0)</f>
        <v>0</v>
      </c>
      <c r="L495" s="19" t="e">
        <f>SUMIFS([1]!Motor_Comissão[Valor Previsto],[1]!Motor_Comissão[Chave], tb_Auditoria[[#This Row],[Nº CONTRATO]]&amp;"-"&amp;tb_Auditoria[[#This Row],[PARCELA ATUAL]])</f>
        <v>#REF!</v>
      </c>
      <c r="M495" s="19" t="e">
        <f>tb_Auditoria[[#This Row],[VALOR PAGO]] - tb_Auditoria[[#This Row],[VALOR ESPERADO]]</f>
        <v>#REF!</v>
      </c>
      <c r="N4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6" spans="1:15">
      <c r="A496" s="9">
        <v>1155917</v>
      </c>
      <c r="B496" s="10">
        <v>2</v>
      </c>
      <c r="C496" s="28">
        <v>4.4799999999999996E-3</v>
      </c>
      <c r="D496" s="12">
        <f>tb_Auditoria[[#This Row],[% TAXA RELATÓRIO]]*tb_Auditoria[[#This Row],[VALOR CRÉDITO]]</f>
        <v>1366.5154496</v>
      </c>
      <c r="E496" s="13">
        <v>46038</v>
      </c>
      <c r="F496" s="13" t="s">
        <v>17</v>
      </c>
      <c r="G49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9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6" s="19">
        <f>IFERROR(INDEX([1]!tb_Vendas[Crédito],MATCH(tb_Auditoria[[#This Row],[Nº CONTRATO]],[1]!tb_Vendas[Nº Contrato],0)),0)</f>
        <v>305025.77</v>
      </c>
      <c r="K496" s="21">
        <f>IFERROR(tb_Auditoria[[#This Row],[VALOR ESPERADO]] / tb_Auditoria[[#This Row],[VALOR CRÉDITO]], 0)</f>
        <v>0</v>
      </c>
      <c r="L496" s="19" t="e">
        <f>SUMIFS([1]!Motor_Comissão[Valor Previsto],[1]!Motor_Comissão[Chave], tb_Auditoria[[#This Row],[Nº CONTRATO]]&amp;"-"&amp;tb_Auditoria[[#This Row],[PARCELA ATUAL]])</f>
        <v>#REF!</v>
      </c>
      <c r="M496" s="19" t="e">
        <f>tb_Auditoria[[#This Row],[VALOR PAGO]] - tb_Auditoria[[#This Row],[VALOR ESPERADO]]</f>
        <v>#REF!</v>
      </c>
      <c r="N4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7" spans="1:15">
      <c r="A497" s="9">
        <v>1155917</v>
      </c>
      <c r="B497" s="10">
        <v>3</v>
      </c>
      <c r="C497" s="28">
        <v>4.4799999999999996E-3</v>
      </c>
      <c r="D497" s="12">
        <f>tb_Auditoria[[#This Row],[% TAXA RELATÓRIO]]*tb_Auditoria[[#This Row],[VALOR CRÉDITO]]</f>
        <v>1366.5154496</v>
      </c>
      <c r="E497" s="13">
        <v>46072</v>
      </c>
      <c r="F497" s="13" t="s">
        <v>17</v>
      </c>
      <c r="G49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9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7" s="19">
        <f>IFERROR(INDEX([1]!tb_Vendas[Crédito],MATCH(tb_Auditoria[[#This Row],[Nº CONTRATO]],[1]!tb_Vendas[Nº Contrato],0)),0)</f>
        <v>305025.77</v>
      </c>
      <c r="K497" s="21">
        <f>IFERROR(tb_Auditoria[[#This Row],[VALOR ESPERADO]] / tb_Auditoria[[#This Row],[VALOR CRÉDITO]], 0)</f>
        <v>0</v>
      </c>
      <c r="L497" s="19" t="e">
        <f>SUMIFS([1]!Motor_Comissão[Valor Previsto],[1]!Motor_Comissão[Chave], tb_Auditoria[[#This Row],[Nº CONTRATO]]&amp;"-"&amp;tb_Auditoria[[#This Row],[PARCELA ATUAL]])</f>
        <v>#REF!</v>
      </c>
      <c r="M497" s="19" t="e">
        <f>tb_Auditoria[[#This Row],[VALOR PAGO]] - tb_Auditoria[[#This Row],[VALOR ESPERADO]]</f>
        <v>#REF!</v>
      </c>
      <c r="N4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8" spans="1:15">
      <c r="A498" s="9">
        <v>1155917</v>
      </c>
      <c r="B498" s="10">
        <v>5</v>
      </c>
      <c r="C498" s="28">
        <v>4.4799999999999996E-3</v>
      </c>
      <c r="D498" s="12">
        <f>tb_Auditoria[[#This Row],[% TAXA RELATÓRIO]]*tb_Auditoria[[#This Row],[VALOR CRÉDITO]]</f>
        <v>1366.5154496</v>
      </c>
      <c r="E498" s="13">
        <v>46129</v>
      </c>
      <c r="F498" s="13" t="s">
        <v>17</v>
      </c>
      <c r="G49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9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8" s="19">
        <f>IFERROR(INDEX([1]!tb_Vendas[Crédito],MATCH(tb_Auditoria[[#This Row],[Nº CONTRATO]],[1]!tb_Vendas[Nº Contrato],0)),0)</f>
        <v>305025.77</v>
      </c>
      <c r="K498" s="21">
        <f>IFERROR(tb_Auditoria[[#This Row],[VALOR ESPERADO]] / tb_Auditoria[[#This Row],[VALOR CRÉDITO]], 0)</f>
        <v>0</v>
      </c>
      <c r="L498" s="19" t="e">
        <f>SUMIFS([1]!Motor_Comissão[Valor Previsto],[1]!Motor_Comissão[Chave], tb_Auditoria[[#This Row],[Nº CONTRATO]]&amp;"-"&amp;tb_Auditoria[[#This Row],[PARCELA ATUAL]])</f>
        <v>#REF!</v>
      </c>
      <c r="M498" s="19" t="e">
        <f>tb_Auditoria[[#This Row],[VALOR PAGO]] - tb_Auditoria[[#This Row],[VALOR ESPERADO]]</f>
        <v>#REF!</v>
      </c>
      <c r="N4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499" spans="1:15">
      <c r="A499" s="9">
        <v>1155922</v>
      </c>
      <c r="B499" s="10">
        <v>4</v>
      </c>
      <c r="C499" s="28">
        <v>4.4799999999999996E-3</v>
      </c>
      <c r="D499" s="12">
        <f>tb_Auditoria[[#This Row],[% TAXA RELATÓRIO]]*tb_Auditoria[[#This Row],[VALOR CRÉDITO]]</f>
        <v>1366.5154496</v>
      </c>
      <c r="E499" s="13">
        <v>46100</v>
      </c>
      <c r="F499" s="13" t="s">
        <v>17</v>
      </c>
      <c r="G49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49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49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499" s="19">
        <f>IFERROR(INDEX([1]!tb_Vendas[Crédito],MATCH(tb_Auditoria[[#This Row],[Nº CONTRATO]],[1]!tb_Vendas[Nº Contrato],0)),0)</f>
        <v>305025.77</v>
      </c>
      <c r="K499" s="21">
        <f>IFERROR(tb_Auditoria[[#This Row],[VALOR ESPERADO]] / tb_Auditoria[[#This Row],[VALOR CRÉDITO]], 0)</f>
        <v>0</v>
      </c>
      <c r="L499" s="19" t="e">
        <f>SUMIFS([1]!Motor_Comissão[Valor Previsto],[1]!Motor_Comissão[Chave], tb_Auditoria[[#This Row],[Nº CONTRATO]]&amp;"-"&amp;tb_Auditoria[[#This Row],[PARCELA ATUAL]])</f>
        <v>#REF!</v>
      </c>
      <c r="M499" s="19" t="e">
        <f>tb_Auditoria[[#This Row],[VALOR PAGO]] - tb_Auditoria[[#This Row],[VALOR ESPERADO]]</f>
        <v>#REF!</v>
      </c>
      <c r="N4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4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0" spans="1:15">
      <c r="A500" s="9">
        <v>1155922</v>
      </c>
      <c r="B500" s="10">
        <v>6</v>
      </c>
      <c r="C500" s="28">
        <v>4.4799999999999996E-3</v>
      </c>
      <c r="D500" s="12">
        <f>tb_Auditoria[[#This Row],[% TAXA RELATÓRIO]]*tb_Auditoria[[#This Row],[VALOR CRÉDITO]]</f>
        <v>1366.5154496</v>
      </c>
      <c r="E500" s="13">
        <v>46161</v>
      </c>
      <c r="F500" s="13" t="s">
        <v>17</v>
      </c>
      <c r="G50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0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0" s="19">
        <f>IFERROR(INDEX([1]!tb_Vendas[Crédito],MATCH(tb_Auditoria[[#This Row],[Nº CONTRATO]],[1]!tb_Vendas[Nº Contrato],0)),0)</f>
        <v>305025.77</v>
      </c>
      <c r="K500" s="21">
        <f>IFERROR(tb_Auditoria[[#This Row],[VALOR ESPERADO]] / tb_Auditoria[[#This Row],[VALOR CRÉDITO]], 0)</f>
        <v>0</v>
      </c>
      <c r="L500" s="19" t="e">
        <f>SUMIFS([1]!Motor_Comissão[Valor Previsto],[1]!Motor_Comissão[Chave], tb_Auditoria[[#This Row],[Nº CONTRATO]]&amp;"-"&amp;tb_Auditoria[[#This Row],[PARCELA ATUAL]])</f>
        <v>#REF!</v>
      </c>
      <c r="M500" s="19" t="e">
        <f>tb_Auditoria[[#This Row],[VALOR PAGO]] - tb_Auditoria[[#This Row],[VALOR ESPERADO]]</f>
        <v>#REF!</v>
      </c>
      <c r="N5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1" spans="1:15">
      <c r="A501" s="9">
        <v>1155922</v>
      </c>
      <c r="B501" s="10">
        <v>1</v>
      </c>
      <c r="C501" s="28">
        <v>4.4799999999999996E-3</v>
      </c>
      <c r="D501" s="12">
        <f>tb_Auditoria[[#This Row],[% TAXA RELATÓRIO]]*tb_Auditoria[[#This Row],[VALOR CRÉDITO]]</f>
        <v>1366.5154496</v>
      </c>
      <c r="E501" s="13">
        <v>46008</v>
      </c>
      <c r="F501" s="13" t="s">
        <v>17</v>
      </c>
      <c r="G50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0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1" s="19">
        <f>IFERROR(INDEX([1]!tb_Vendas[Crédito],MATCH(tb_Auditoria[[#This Row],[Nº CONTRATO]],[1]!tb_Vendas[Nº Contrato],0)),0)</f>
        <v>305025.77</v>
      </c>
      <c r="K501" s="21">
        <f>IFERROR(tb_Auditoria[[#This Row],[VALOR ESPERADO]] / tb_Auditoria[[#This Row],[VALOR CRÉDITO]], 0)</f>
        <v>0</v>
      </c>
      <c r="L501" s="19" t="e">
        <f>SUMIFS([1]!Motor_Comissão[Valor Previsto],[1]!Motor_Comissão[Chave], tb_Auditoria[[#This Row],[Nº CONTRATO]]&amp;"-"&amp;tb_Auditoria[[#This Row],[PARCELA ATUAL]])</f>
        <v>#REF!</v>
      </c>
      <c r="M501" s="19" t="e">
        <f>tb_Auditoria[[#This Row],[VALOR PAGO]] - tb_Auditoria[[#This Row],[VALOR ESPERADO]]</f>
        <v>#REF!</v>
      </c>
      <c r="N5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2" spans="1:15">
      <c r="A502" s="9">
        <v>1155922</v>
      </c>
      <c r="B502" s="10">
        <v>2</v>
      </c>
      <c r="C502" s="28">
        <v>4.4799999999999996E-3</v>
      </c>
      <c r="D502" s="12">
        <f>tb_Auditoria[[#This Row],[% TAXA RELATÓRIO]]*tb_Auditoria[[#This Row],[VALOR CRÉDITO]]</f>
        <v>1366.5154496</v>
      </c>
      <c r="E502" s="13">
        <v>46038</v>
      </c>
      <c r="F502" s="13" t="s">
        <v>17</v>
      </c>
      <c r="G50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0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2" s="19">
        <f>IFERROR(INDEX([1]!tb_Vendas[Crédito],MATCH(tb_Auditoria[[#This Row],[Nº CONTRATO]],[1]!tb_Vendas[Nº Contrato],0)),0)</f>
        <v>305025.77</v>
      </c>
      <c r="K502" s="21">
        <f>IFERROR(tb_Auditoria[[#This Row],[VALOR ESPERADO]] / tb_Auditoria[[#This Row],[VALOR CRÉDITO]], 0)</f>
        <v>0</v>
      </c>
      <c r="L502" s="19" t="e">
        <f>SUMIFS([1]!Motor_Comissão[Valor Previsto],[1]!Motor_Comissão[Chave], tb_Auditoria[[#This Row],[Nº CONTRATO]]&amp;"-"&amp;tb_Auditoria[[#This Row],[PARCELA ATUAL]])</f>
        <v>#REF!</v>
      </c>
      <c r="M502" s="19" t="e">
        <f>tb_Auditoria[[#This Row],[VALOR PAGO]] - tb_Auditoria[[#This Row],[VALOR ESPERADO]]</f>
        <v>#REF!</v>
      </c>
      <c r="N5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3" spans="1:15">
      <c r="A503" s="9">
        <v>1155922</v>
      </c>
      <c r="B503" s="10">
        <v>3</v>
      </c>
      <c r="C503" s="28">
        <v>4.4799999999999996E-3</v>
      </c>
      <c r="D503" s="12">
        <f>tb_Auditoria[[#This Row],[% TAXA RELATÓRIO]]*tb_Auditoria[[#This Row],[VALOR CRÉDITO]]</f>
        <v>1366.5154496</v>
      </c>
      <c r="E503" s="13">
        <v>46072</v>
      </c>
      <c r="F503" s="13" t="s">
        <v>17</v>
      </c>
      <c r="G50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0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3" s="19">
        <f>IFERROR(INDEX([1]!tb_Vendas[Crédito],MATCH(tb_Auditoria[[#This Row],[Nº CONTRATO]],[1]!tb_Vendas[Nº Contrato],0)),0)</f>
        <v>305025.77</v>
      </c>
      <c r="K503" s="21">
        <f>IFERROR(tb_Auditoria[[#This Row],[VALOR ESPERADO]] / tb_Auditoria[[#This Row],[VALOR CRÉDITO]], 0)</f>
        <v>0</v>
      </c>
      <c r="L503" s="19" t="e">
        <f>SUMIFS([1]!Motor_Comissão[Valor Previsto],[1]!Motor_Comissão[Chave], tb_Auditoria[[#This Row],[Nº CONTRATO]]&amp;"-"&amp;tb_Auditoria[[#This Row],[PARCELA ATUAL]])</f>
        <v>#REF!</v>
      </c>
      <c r="M503" s="19" t="e">
        <f>tb_Auditoria[[#This Row],[VALOR PAGO]] - tb_Auditoria[[#This Row],[VALOR ESPERADO]]</f>
        <v>#REF!</v>
      </c>
      <c r="N5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4" spans="1:15">
      <c r="A504" s="9">
        <v>1155922</v>
      </c>
      <c r="B504" s="10">
        <v>5</v>
      </c>
      <c r="C504" s="28">
        <v>4.4799999999999996E-3</v>
      </c>
      <c r="D504" s="12">
        <f>tb_Auditoria[[#This Row],[% TAXA RELATÓRIO]]*tb_Auditoria[[#This Row],[VALOR CRÉDITO]]</f>
        <v>1366.5154496</v>
      </c>
      <c r="E504" s="13">
        <v>46129</v>
      </c>
      <c r="F504" s="13" t="s">
        <v>17</v>
      </c>
      <c r="G50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0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4" s="19">
        <f>IFERROR(INDEX([1]!tb_Vendas[Crédito],MATCH(tb_Auditoria[[#This Row],[Nº CONTRATO]],[1]!tb_Vendas[Nº Contrato],0)),0)</f>
        <v>305025.77</v>
      </c>
      <c r="K504" s="21">
        <f>IFERROR(tb_Auditoria[[#This Row],[VALOR ESPERADO]] / tb_Auditoria[[#This Row],[VALOR CRÉDITO]], 0)</f>
        <v>0</v>
      </c>
      <c r="L504" s="19" t="e">
        <f>SUMIFS([1]!Motor_Comissão[Valor Previsto],[1]!Motor_Comissão[Chave], tb_Auditoria[[#This Row],[Nº CONTRATO]]&amp;"-"&amp;tb_Auditoria[[#This Row],[PARCELA ATUAL]])</f>
        <v>#REF!</v>
      </c>
      <c r="M504" s="19" t="e">
        <f>tb_Auditoria[[#This Row],[VALOR PAGO]] - tb_Auditoria[[#This Row],[VALOR ESPERADO]]</f>
        <v>#REF!</v>
      </c>
      <c r="N5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5" spans="1:15">
      <c r="A505" s="30">
        <v>1155927</v>
      </c>
      <c r="B505" s="25">
        <v>4</v>
      </c>
      <c r="C505" s="28">
        <v>4.4799999999999996E-3</v>
      </c>
      <c r="D505" s="12">
        <f>tb_Auditoria[[#This Row],[% TAXA RELATÓRIO]]*tb_Auditoria[[#This Row],[VALOR CRÉDITO]]</f>
        <v>1366.5154496</v>
      </c>
      <c r="E505" s="29">
        <v>46100</v>
      </c>
      <c r="F505" s="13" t="s">
        <v>17</v>
      </c>
      <c r="G50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0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5" s="19">
        <f>IFERROR(INDEX([1]!tb_Vendas[Crédito],MATCH(tb_Auditoria[[#This Row],[Nº CONTRATO]],[1]!tb_Vendas[Nº Contrato],0)),0)</f>
        <v>305025.77</v>
      </c>
      <c r="K505" s="21">
        <f>IFERROR(tb_Auditoria[[#This Row],[VALOR ESPERADO]] / tb_Auditoria[[#This Row],[VALOR CRÉDITO]], 0)</f>
        <v>0</v>
      </c>
      <c r="L505" s="19" t="e">
        <f>SUMIFS([1]!Motor_Comissão[Valor Previsto],[1]!Motor_Comissão[Chave], tb_Auditoria[[#This Row],[Nº CONTRATO]]&amp;"-"&amp;tb_Auditoria[[#This Row],[PARCELA ATUAL]])</f>
        <v>#REF!</v>
      </c>
      <c r="M505" s="19" t="e">
        <f>tb_Auditoria[[#This Row],[VALOR PAGO]] - tb_Auditoria[[#This Row],[VALOR ESPERADO]]</f>
        <v>#REF!</v>
      </c>
      <c r="N5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6" spans="1:15">
      <c r="A506" s="9">
        <v>1155927</v>
      </c>
      <c r="B506" s="10">
        <v>6</v>
      </c>
      <c r="C506" s="28">
        <v>4.4799999999999996E-3</v>
      </c>
      <c r="D506" s="12">
        <f>tb_Auditoria[[#This Row],[% TAXA RELATÓRIO]]*tb_Auditoria[[#This Row],[VALOR CRÉDITO]]</f>
        <v>1366.5154496</v>
      </c>
      <c r="E506" s="13">
        <v>46161</v>
      </c>
      <c r="F506" s="13" t="s">
        <v>17</v>
      </c>
      <c r="G50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0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6" s="19">
        <f>IFERROR(INDEX([1]!tb_Vendas[Crédito],MATCH(tb_Auditoria[[#This Row],[Nº CONTRATO]],[1]!tb_Vendas[Nº Contrato],0)),0)</f>
        <v>305025.77</v>
      </c>
      <c r="K506" s="21">
        <f>IFERROR(tb_Auditoria[[#This Row],[VALOR ESPERADO]] / tb_Auditoria[[#This Row],[VALOR CRÉDITO]], 0)</f>
        <v>0</v>
      </c>
      <c r="L506" s="19" t="e">
        <f>SUMIFS([1]!Motor_Comissão[Valor Previsto],[1]!Motor_Comissão[Chave], tb_Auditoria[[#This Row],[Nº CONTRATO]]&amp;"-"&amp;tb_Auditoria[[#This Row],[PARCELA ATUAL]])</f>
        <v>#REF!</v>
      </c>
      <c r="M506" s="19" t="e">
        <f>tb_Auditoria[[#This Row],[VALOR PAGO]] - tb_Auditoria[[#This Row],[VALOR ESPERADO]]</f>
        <v>#REF!</v>
      </c>
      <c r="N5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7" spans="1:15">
      <c r="A507" s="9">
        <v>1155927</v>
      </c>
      <c r="B507" s="10">
        <v>1</v>
      </c>
      <c r="C507" s="28">
        <v>4.4799999999999996E-3</v>
      </c>
      <c r="D507" s="12">
        <f>tb_Auditoria[[#This Row],[% TAXA RELATÓRIO]]*tb_Auditoria[[#This Row],[VALOR CRÉDITO]]</f>
        <v>1366.5154496</v>
      </c>
      <c r="E507" s="13">
        <v>46008</v>
      </c>
      <c r="F507" s="13" t="s">
        <v>17</v>
      </c>
      <c r="G50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0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7" s="19">
        <f>IFERROR(INDEX([1]!tb_Vendas[Crédito],MATCH(tb_Auditoria[[#This Row],[Nº CONTRATO]],[1]!tb_Vendas[Nº Contrato],0)),0)</f>
        <v>305025.77</v>
      </c>
      <c r="K507" s="21">
        <f>IFERROR(tb_Auditoria[[#This Row],[VALOR ESPERADO]] / tb_Auditoria[[#This Row],[VALOR CRÉDITO]], 0)</f>
        <v>0</v>
      </c>
      <c r="L507" s="19" t="e">
        <f>SUMIFS([1]!Motor_Comissão[Valor Previsto],[1]!Motor_Comissão[Chave], tb_Auditoria[[#This Row],[Nº CONTRATO]]&amp;"-"&amp;tb_Auditoria[[#This Row],[PARCELA ATUAL]])</f>
        <v>#REF!</v>
      </c>
      <c r="M507" s="19" t="e">
        <f>tb_Auditoria[[#This Row],[VALOR PAGO]] - tb_Auditoria[[#This Row],[VALOR ESPERADO]]</f>
        <v>#REF!</v>
      </c>
      <c r="N5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8" spans="1:15">
      <c r="A508" s="9">
        <v>1155927</v>
      </c>
      <c r="B508" s="10">
        <v>2</v>
      </c>
      <c r="C508" s="28">
        <v>4.4799999999999996E-3</v>
      </c>
      <c r="D508" s="12">
        <f>tb_Auditoria[[#This Row],[% TAXA RELATÓRIO]]*tb_Auditoria[[#This Row],[VALOR CRÉDITO]]</f>
        <v>1366.5154496</v>
      </c>
      <c r="E508" s="13">
        <v>46038</v>
      </c>
      <c r="F508" s="13" t="s">
        <v>17</v>
      </c>
      <c r="G50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0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8" s="19">
        <f>IFERROR(INDEX([1]!tb_Vendas[Crédito],MATCH(tb_Auditoria[[#This Row],[Nº CONTRATO]],[1]!tb_Vendas[Nº Contrato],0)),0)</f>
        <v>305025.77</v>
      </c>
      <c r="K508" s="21">
        <f>IFERROR(tb_Auditoria[[#This Row],[VALOR ESPERADO]] / tb_Auditoria[[#This Row],[VALOR CRÉDITO]], 0)</f>
        <v>0</v>
      </c>
      <c r="L508" s="19" t="e">
        <f>SUMIFS([1]!Motor_Comissão[Valor Previsto],[1]!Motor_Comissão[Chave], tb_Auditoria[[#This Row],[Nº CONTRATO]]&amp;"-"&amp;tb_Auditoria[[#This Row],[PARCELA ATUAL]])</f>
        <v>#REF!</v>
      </c>
      <c r="M508" s="19" t="e">
        <f>tb_Auditoria[[#This Row],[VALOR PAGO]] - tb_Auditoria[[#This Row],[VALOR ESPERADO]]</f>
        <v>#REF!</v>
      </c>
      <c r="N5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09" spans="1:15">
      <c r="A509" s="9">
        <v>1155927</v>
      </c>
      <c r="B509" s="10">
        <v>3</v>
      </c>
      <c r="C509" s="28">
        <v>4.4799999999999996E-3</v>
      </c>
      <c r="D509" s="12">
        <f>tb_Auditoria[[#This Row],[% TAXA RELATÓRIO]]*tb_Auditoria[[#This Row],[VALOR CRÉDITO]]</f>
        <v>1366.5154496</v>
      </c>
      <c r="E509" s="13">
        <v>46072</v>
      </c>
      <c r="F509" s="13" t="s">
        <v>17</v>
      </c>
      <c r="G50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0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0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09" s="19">
        <f>IFERROR(INDEX([1]!tb_Vendas[Crédito],MATCH(tb_Auditoria[[#This Row],[Nº CONTRATO]],[1]!tb_Vendas[Nº Contrato],0)),0)</f>
        <v>305025.77</v>
      </c>
      <c r="K509" s="21">
        <f>IFERROR(tb_Auditoria[[#This Row],[VALOR ESPERADO]] / tb_Auditoria[[#This Row],[VALOR CRÉDITO]], 0)</f>
        <v>0</v>
      </c>
      <c r="L509" s="19" t="e">
        <f>SUMIFS([1]!Motor_Comissão[Valor Previsto],[1]!Motor_Comissão[Chave], tb_Auditoria[[#This Row],[Nº CONTRATO]]&amp;"-"&amp;tb_Auditoria[[#This Row],[PARCELA ATUAL]])</f>
        <v>#REF!</v>
      </c>
      <c r="M509" s="19" t="e">
        <f>tb_Auditoria[[#This Row],[VALOR PAGO]] - tb_Auditoria[[#This Row],[VALOR ESPERADO]]</f>
        <v>#REF!</v>
      </c>
      <c r="N5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0" spans="1:15">
      <c r="A510" s="9">
        <v>1155927</v>
      </c>
      <c r="B510" s="10">
        <v>5</v>
      </c>
      <c r="C510" s="28">
        <v>4.4799999999999996E-3</v>
      </c>
      <c r="D510" s="12">
        <f>tb_Auditoria[[#This Row],[% TAXA RELATÓRIO]]*tb_Auditoria[[#This Row],[VALOR CRÉDITO]]</f>
        <v>1366.5154496</v>
      </c>
      <c r="E510" s="13">
        <v>46129</v>
      </c>
      <c r="F510" s="13" t="s">
        <v>17</v>
      </c>
      <c r="G51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1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0" s="19">
        <f>IFERROR(INDEX([1]!tb_Vendas[Crédito],MATCH(tb_Auditoria[[#This Row],[Nº CONTRATO]],[1]!tb_Vendas[Nº Contrato],0)),0)</f>
        <v>305025.77</v>
      </c>
      <c r="K510" s="21">
        <f>IFERROR(tb_Auditoria[[#This Row],[VALOR ESPERADO]] / tb_Auditoria[[#This Row],[VALOR CRÉDITO]], 0)</f>
        <v>0</v>
      </c>
      <c r="L510" s="19" t="e">
        <f>SUMIFS([1]!Motor_Comissão[Valor Previsto],[1]!Motor_Comissão[Chave], tb_Auditoria[[#This Row],[Nº CONTRATO]]&amp;"-"&amp;tb_Auditoria[[#This Row],[PARCELA ATUAL]])</f>
        <v>#REF!</v>
      </c>
      <c r="M510" s="19" t="e">
        <f>tb_Auditoria[[#This Row],[VALOR PAGO]] - tb_Auditoria[[#This Row],[VALOR ESPERADO]]</f>
        <v>#REF!</v>
      </c>
      <c r="N5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1" spans="1:15">
      <c r="A511" s="9">
        <v>1155937</v>
      </c>
      <c r="B511" s="10">
        <v>4</v>
      </c>
      <c r="C511" s="28">
        <v>4.7359999999999998E-3</v>
      </c>
      <c r="D511" s="12">
        <f>tb_Auditoria[[#This Row],[% TAXA RELATÓRIO]]*tb_Auditoria[[#This Row],[VALOR CRÉDITO]]</f>
        <v>1352.0867967999998</v>
      </c>
      <c r="E511" s="13">
        <v>46100</v>
      </c>
      <c r="F511" s="13" t="s">
        <v>17</v>
      </c>
      <c r="G51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1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1" s="19">
        <f>IFERROR(INDEX([1]!tb_Vendas[Crédito],MATCH(tb_Auditoria[[#This Row],[Nº CONTRATO]],[1]!tb_Vendas[Nº Contrato],0)),0)</f>
        <v>285491.3</v>
      </c>
      <c r="K511" s="21">
        <f>IFERROR(tb_Auditoria[[#This Row],[VALOR ESPERADO]] / tb_Auditoria[[#This Row],[VALOR CRÉDITO]], 0)</f>
        <v>0</v>
      </c>
      <c r="L511" s="19" t="e">
        <f>SUMIFS([1]!Motor_Comissão[Valor Previsto],[1]!Motor_Comissão[Chave], tb_Auditoria[[#This Row],[Nº CONTRATO]]&amp;"-"&amp;tb_Auditoria[[#This Row],[PARCELA ATUAL]])</f>
        <v>#REF!</v>
      </c>
      <c r="M511" s="19" t="e">
        <f>tb_Auditoria[[#This Row],[VALOR PAGO]] - tb_Auditoria[[#This Row],[VALOR ESPERADO]]</f>
        <v>#REF!</v>
      </c>
      <c r="N5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2" spans="1:15">
      <c r="A512" s="9">
        <v>1155937</v>
      </c>
      <c r="B512" s="10">
        <v>6</v>
      </c>
      <c r="C512" s="28">
        <v>4.7359999999999998E-3</v>
      </c>
      <c r="D512" s="12">
        <f>tb_Auditoria[[#This Row],[% TAXA RELATÓRIO]]*tb_Auditoria[[#This Row],[VALOR CRÉDITO]]</f>
        <v>1352.0867967999998</v>
      </c>
      <c r="E512" s="13">
        <v>46161</v>
      </c>
      <c r="F512" s="13" t="s">
        <v>17</v>
      </c>
      <c r="G51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1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2" s="19">
        <f>IFERROR(INDEX([1]!tb_Vendas[Crédito],MATCH(tb_Auditoria[[#This Row],[Nº CONTRATO]],[1]!tb_Vendas[Nº Contrato],0)),0)</f>
        <v>285491.3</v>
      </c>
      <c r="K512" s="21">
        <f>IFERROR(tb_Auditoria[[#This Row],[VALOR ESPERADO]] / tb_Auditoria[[#This Row],[VALOR CRÉDITO]], 0)</f>
        <v>0</v>
      </c>
      <c r="L512" s="19" t="e">
        <f>SUMIFS([1]!Motor_Comissão[Valor Previsto],[1]!Motor_Comissão[Chave], tb_Auditoria[[#This Row],[Nº CONTRATO]]&amp;"-"&amp;tb_Auditoria[[#This Row],[PARCELA ATUAL]])</f>
        <v>#REF!</v>
      </c>
      <c r="M512" s="19" t="e">
        <f>tb_Auditoria[[#This Row],[VALOR PAGO]] - tb_Auditoria[[#This Row],[VALOR ESPERADO]]</f>
        <v>#REF!</v>
      </c>
      <c r="N5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3" spans="1:15">
      <c r="A513" s="9">
        <v>1155937</v>
      </c>
      <c r="B513" s="10">
        <v>1</v>
      </c>
      <c r="C513" s="28">
        <v>4.7359999999999998E-3</v>
      </c>
      <c r="D513" s="12">
        <f>tb_Auditoria[[#This Row],[% TAXA RELATÓRIO]]*tb_Auditoria[[#This Row],[VALOR CRÉDITO]]</f>
        <v>1352.0867967999998</v>
      </c>
      <c r="E513" s="13">
        <v>46008</v>
      </c>
      <c r="F513" s="13" t="s">
        <v>17</v>
      </c>
      <c r="G51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1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3" s="19">
        <f>IFERROR(INDEX([1]!tb_Vendas[Crédito],MATCH(tb_Auditoria[[#This Row],[Nº CONTRATO]],[1]!tb_Vendas[Nº Contrato],0)),0)</f>
        <v>285491.3</v>
      </c>
      <c r="K513" s="21">
        <f>IFERROR(tb_Auditoria[[#This Row],[VALOR ESPERADO]] / tb_Auditoria[[#This Row],[VALOR CRÉDITO]], 0)</f>
        <v>0</v>
      </c>
      <c r="L513" s="19" t="e">
        <f>SUMIFS([1]!Motor_Comissão[Valor Previsto],[1]!Motor_Comissão[Chave], tb_Auditoria[[#This Row],[Nº CONTRATO]]&amp;"-"&amp;tb_Auditoria[[#This Row],[PARCELA ATUAL]])</f>
        <v>#REF!</v>
      </c>
      <c r="M513" s="19" t="e">
        <f>tb_Auditoria[[#This Row],[VALOR PAGO]] - tb_Auditoria[[#This Row],[VALOR ESPERADO]]</f>
        <v>#REF!</v>
      </c>
      <c r="N5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4" spans="1:15">
      <c r="A514" s="9">
        <v>1155937</v>
      </c>
      <c r="B514" s="10">
        <v>2</v>
      </c>
      <c r="C514" s="28">
        <v>4.7359999999999998E-3</v>
      </c>
      <c r="D514" s="12">
        <f>tb_Auditoria[[#This Row],[% TAXA RELATÓRIO]]*tb_Auditoria[[#This Row],[VALOR CRÉDITO]]</f>
        <v>1352.0867967999998</v>
      </c>
      <c r="E514" s="13">
        <v>46038</v>
      </c>
      <c r="F514" s="13" t="s">
        <v>17</v>
      </c>
      <c r="G51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1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4" s="19">
        <f>IFERROR(INDEX([1]!tb_Vendas[Crédito],MATCH(tb_Auditoria[[#This Row],[Nº CONTRATO]],[1]!tb_Vendas[Nº Contrato],0)),0)</f>
        <v>285491.3</v>
      </c>
      <c r="K514" s="21">
        <f>IFERROR(tb_Auditoria[[#This Row],[VALOR ESPERADO]] / tb_Auditoria[[#This Row],[VALOR CRÉDITO]], 0)</f>
        <v>0</v>
      </c>
      <c r="L514" s="19" t="e">
        <f>SUMIFS([1]!Motor_Comissão[Valor Previsto],[1]!Motor_Comissão[Chave], tb_Auditoria[[#This Row],[Nº CONTRATO]]&amp;"-"&amp;tb_Auditoria[[#This Row],[PARCELA ATUAL]])</f>
        <v>#REF!</v>
      </c>
      <c r="M514" s="19" t="e">
        <f>tb_Auditoria[[#This Row],[VALOR PAGO]] - tb_Auditoria[[#This Row],[VALOR ESPERADO]]</f>
        <v>#REF!</v>
      </c>
      <c r="N5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5" spans="1:15">
      <c r="A515" s="9">
        <v>1155937</v>
      </c>
      <c r="B515" s="10">
        <v>3</v>
      </c>
      <c r="C515" s="28">
        <v>4.7359999999999998E-3</v>
      </c>
      <c r="D515" s="12">
        <f>tb_Auditoria[[#This Row],[% TAXA RELATÓRIO]]*tb_Auditoria[[#This Row],[VALOR CRÉDITO]]</f>
        <v>1352.0867967999998</v>
      </c>
      <c r="E515" s="13">
        <v>46072</v>
      </c>
      <c r="F515" s="13" t="s">
        <v>17</v>
      </c>
      <c r="G51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1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5" s="19">
        <f>IFERROR(INDEX([1]!tb_Vendas[Crédito],MATCH(tb_Auditoria[[#This Row],[Nº CONTRATO]],[1]!tb_Vendas[Nº Contrato],0)),0)</f>
        <v>285491.3</v>
      </c>
      <c r="K515" s="21">
        <f>IFERROR(tb_Auditoria[[#This Row],[VALOR ESPERADO]] / tb_Auditoria[[#This Row],[VALOR CRÉDITO]], 0)</f>
        <v>0</v>
      </c>
      <c r="L515" s="19" t="e">
        <f>SUMIFS([1]!Motor_Comissão[Valor Previsto],[1]!Motor_Comissão[Chave], tb_Auditoria[[#This Row],[Nº CONTRATO]]&amp;"-"&amp;tb_Auditoria[[#This Row],[PARCELA ATUAL]])</f>
        <v>#REF!</v>
      </c>
      <c r="M515" s="19" t="e">
        <f>tb_Auditoria[[#This Row],[VALOR PAGO]] - tb_Auditoria[[#This Row],[VALOR ESPERADO]]</f>
        <v>#REF!</v>
      </c>
      <c r="N5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6" spans="1:15">
      <c r="A516" s="9">
        <v>1155937</v>
      </c>
      <c r="B516" s="10">
        <v>5</v>
      </c>
      <c r="C516" s="28">
        <v>4.7359999999999998E-3</v>
      </c>
      <c r="D516" s="12">
        <f>tb_Auditoria[[#This Row],[% TAXA RELATÓRIO]]*tb_Auditoria[[#This Row],[VALOR CRÉDITO]]</f>
        <v>1352.0867967999998</v>
      </c>
      <c r="E516" s="13">
        <v>46129</v>
      </c>
      <c r="F516" s="13" t="s">
        <v>17</v>
      </c>
      <c r="G51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1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6" s="19">
        <f>IFERROR(INDEX([1]!tb_Vendas[Crédito],MATCH(tb_Auditoria[[#This Row],[Nº CONTRATO]],[1]!tb_Vendas[Nº Contrato],0)),0)</f>
        <v>285491.3</v>
      </c>
      <c r="K516" s="21">
        <f>IFERROR(tb_Auditoria[[#This Row],[VALOR ESPERADO]] / tb_Auditoria[[#This Row],[VALOR CRÉDITO]], 0)</f>
        <v>0</v>
      </c>
      <c r="L516" s="19" t="e">
        <f>SUMIFS([1]!Motor_Comissão[Valor Previsto],[1]!Motor_Comissão[Chave], tb_Auditoria[[#This Row],[Nº CONTRATO]]&amp;"-"&amp;tb_Auditoria[[#This Row],[PARCELA ATUAL]])</f>
        <v>#REF!</v>
      </c>
      <c r="M516" s="19" t="e">
        <f>tb_Auditoria[[#This Row],[VALOR PAGO]] - tb_Auditoria[[#This Row],[VALOR ESPERADO]]</f>
        <v>#REF!</v>
      </c>
      <c r="N5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7" spans="1:15">
      <c r="A517" s="9">
        <v>1155943</v>
      </c>
      <c r="B517" s="10">
        <v>4</v>
      </c>
      <c r="C517" s="28">
        <v>4.7359999999999998E-3</v>
      </c>
      <c r="D517" s="12">
        <f>tb_Auditoria[[#This Row],[% TAXA RELATÓRIO]]*tb_Auditoria[[#This Row],[VALOR CRÉDITO]]</f>
        <v>1352.0867967999998</v>
      </c>
      <c r="E517" s="13">
        <v>46100</v>
      </c>
      <c r="F517" s="13" t="s">
        <v>17</v>
      </c>
      <c r="G51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1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7" s="19">
        <f>IFERROR(INDEX([1]!tb_Vendas[Crédito],MATCH(tb_Auditoria[[#This Row],[Nº CONTRATO]],[1]!tb_Vendas[Nº Contrato],0)),0)</f>
        <v>285491.3</v>
      </c>
      <c r="K517" s="21">
        <f>IFERROR(tb_Auditoria[[#This Row],[VALOR ESPERADO]] / tb_Auditoria[[#This Row],[VALOR CRÉDITO]], 0)</f>
        <v>0</v>
      </c>
      <c r="L517" s="19" t="e">
        <f>SUMIFS([1]!Motor_Comissão[Valor Previsto],[1]!Motor_Comissão[Chave], tb_Auditoria[[#This Row],[Nº CONTRATO]]&amp;"-"&amp;tb_Auditoria[[#This Row],[PARCELA ATUAL]])</f>
        <v>#REF!</v>
      </c>
      <c r="M517" s="19" t="e">
        <f>tb_Auditoria[[#This Row],[VALOR PAGO]] - tb_Auditoria[[#This Row],[VALOR ESPERADO]]</f>
        <v>#REF!</v>
      </c>
      <c r="N5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8" spans="1:15">
      <c r="A518" s="9">
        <v>1155943</v>
      </c>
      <c r="B518" s="10">
        <v>6</v>
      </c>
      <c r="C518" s="28">
        <v>4.7359999999999998E-3</v>
      </c>
      <c r="D518" s="12">
        <f>tb_Auditoria[[#This Row],[% TAXA RELATÓRIO]]*tb_Auditoria[[#This Row],[VALOR CRÉDITO]]</f>
        <v>1352.0867967999998</v>
      </c>
      <c r="E518" s="13">
        <v>46161</v>
      </c>
      <c r="F518" s="13" t="s">
        <v>17</v>
      </c>
      <c r="G51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1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8" s="19">
        <f>IFERROR(INDEX([1]!tb_Vendas[Crédito],MATCH(tb_Auditoria[[#This Row],[Nº CONTRATO]],[1]!tb_Vendas[Nº Contrato],0)),0)</f>
        <v>285491.3</v>
      </c>
      <c r="K518" s="21">
        <f>IFERROR(tb_Auditoria[[#This Row],[VALOR ESPERADO]] / tb_Auditoria[[#This Row],[VALOR CRÉDITO]], 0)</f>
        <v>0</v>
      </c>
      <c r="L518" s="19" t="e">
        <f>SUMIFS([1]!Motor_Comissão[Valor Previsto],[1]!Motor_Comissão[Chave], tb_Auditoria[[#This Row],[Nº CONTRATO]]&amp;"-"&amp;tb_Auditoria[[#This Row],[PARCELA ATUAL]])</f>
        <v>#REF!</v>
      </c>
      <c r="M518" s="19" t="e">
        <f>tb_Auditoria[[#This Row],[VALOR PAGO]] - tb_Auditoria[[#This Row],[VALOR ESPERADO]]</f>
        <v>#REF!</v>
      </c>
      <c r="N5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19" spans="1:15">
      <c r="A519" s="9">
        <v>1155943</v>
      </c>
      <c r="B519" s="10">
        <v>1</v>
      </c>
      <c r="C519" s="28">
        <v>4.7359999999999998E-3</v>
      </c>
      <c r="D519" s="12">
        <f>tb_Auditoria[[#This Row],[% TAXA RELATÓRIO]]*tb_Auditoria[[#This Row],[VALOR CRÉDITO]]</f>
        <v>1352.0867967999998</v>
      </c>
      <c r="E519" s="13">
        <v>46008</v>
      </c>
      <c r="F519" s="13" t="s">
        <v>17</v>
      </c>
      <c r="G51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1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1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19" s="19">
        <f>IFERROR(INDEX([1]!tb_Vendas[Crédito],MATCH(tb_Auditoria[[#This Row],[Nº CONTRATO]],[1]!tb_Vendas[Nº Contrato],0)),0)</f>
        <v>285491.3</v>
      </c>
      <c r="K519" s="21">
        <f>IFERROR(tb_Auditoria[[#This Row],[VALOR ESPERADO]] / tb_Auditoria[[#This Row],[VALOR CRÉDITO]], 0)</f>
        <v>0</v>
      </c>
      <c r="L519" s="19" t="e">
        <f>SUMIFS([1]!Motor_Comissão[Valor Previsto],[1]!Motor_Comissão[Chave], tb_Auditoria[[#This Row],[Nº CONTRATO]]&amp;"-"&amp;tb_Auditoria[[#This Row],[PARCELA ATUAL]])</f>
        <v>#REF!</v>
      </c>
      <c r="M519" s="19" t="e">
        <f>tb_Auditoria[[#This Row],[VALOR PAGO]] - tb_Auditoria[[#This Row],[VALOR ESPERADO]]</f>
        <v>#REF!</v>
      </c>
      <c r="N5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0" spans="1:15">
      <c r="A520" s="9">
        <v>1155943</v>
      </c>
      <c r="B520" s="10">
        <v>2</v>
      </c>
      <c r="C520" s="28">
        <v>4.7359999999999998E-3</v>
      </c>
      <c r="D520" s="12">
        <f>tb_Auditoria[[#This Row],[% TAXA RELATÓRIO]]*tb_Auditoria[[#This Row],[VALOR CRÉDITO]]</f>
        <v>1352.0867967999998</v>
      </c>
      <c r="E520" s="13">
        <v>46038</v>
      </c>
      <c r="F520" s="13" t="s">
        <v>17</v>
      </c>
      <c r="G52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2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0" s="19">
        <f>IFERROR(INDEX([1]!tb_Vendas[Crédito],MATCH(tb_Auditoria[[#This Row],[Nº CONTRATO]],[1]!tb_Vendas[Nº Contrato],0)),0)</f>
        <v>285491.3</v>
      </c>
      <c r="K520" s="21">
        <f>IFERROR(tb_Auditoria[[#This Row],[VALOR ESPERADO]] / tb_Auditoria[[#This Row],[VALOR CRÉDITO]], 0)</f>
        <v>0</v>
      </c>
      <c r="L520" s="19" t="e">
        <f>SUMIFS([1]!Motor_Comissão[Valor Previsto],[1]!Motor_Comissão[Chave], tb_Auditoria[[#This Row],[Nº CONTRATO]]&amp;"-"&amp;tb_Auditoria[[#This Row],[PARCELA ATUAL]])</f>
        <v>#REF!</v>
      </c>
      <c r="M520" s="19" t="e">
        <f>tb_Auditoria[[#This Row],[VALOR PAGO]] - tb_Auditoria[[#This Row],[VALOR ESPERADO]]</f>
        <v>#REF!</v>
      </c>
      <c r="N5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1" spans="1:15">
      <c r="A521" s="9">
        <v>1155943</v>
      </c>
      <c r="B521" s="10">
        <v>3</v>
      </c>
      <c r="C521" s="28">
        <v>4.7359999999999998E-3</v>
      </c>
      <c r="D521" s="12">
        <f>tb_Auditoria[[#This Row],[% TAXA RELATÓRIO]]*tb_Auditoria[[#This Row],[VALOR CRÉDITO]]</f>
        <v>1352.0867967999998</v>
      </c>
      <c r="E521" s="13">
        <v>46072</v>
      </c>
      <c r="F521" s="13" t="s">
        <v>17</v>
      </c>
      <c r="G52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2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1" s="19">
        <f>IFERROR(INDEX([1]!tb_Vendas[Crédito],MATCH(tb_Auditoria[[#This Row],[Nº CONTRATO]],[1]!tb_Vendas[Nº Contrato],0)),0)</f>
        <v>285491.3</v>
      </c>
      <c r="K521" s="21">
        <f>IFERROR(tb_Auditoria[[#This Row],[VALOR ESPERADO]] / tb_Auditoria[[#This Row],[VALOR CRÉDITO]], 0)</f>
        <v>0</v>
      </c>
      <c r="L521" s="19" t="e">
        <f>SUMIFS([1]!Motor_Comissão[Valor Previsto],[1]!Motor_Comissão[Chave], tb_Auditoria[[#This Row],[Nº CONTRATO]]&amp;"-"&amp;tb_Auditoria[[#This Row],[PARCELA ATUAL]])</f>
        <v>#REF!</v>
      </c>
      <c r="M521" s="19" t="e">
        <f>tb_Auditoria[[#This Row],[VALOR PAGO]] - tb_Auditoria[[#This Row],[VALOR ESPERADO]]</f>
        <v>#REF!</v>
      </c>
      <c r="N5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2" spans="1:15">
      <c r="A522" s="9">
        <v>1155943</v>
      </c>
      <c r="B522" s="10">
        <v>5</v>
      </c>
      <c r="C522" s="28">
        <v>4.7359999999999998E-3</v>
      </c>
      <c r="D522" s="12">
        <f>tb_Auditoria[[#This Row],[% TAXA RELATÓRIO]]*tb_Auditoria[[#This Row],[VALOR CRÉDITO]]</f>
        <v>1352.0867967999998</v>
      </c>
      <c r="E522" s="13">
        <v>46129</v>
      </c>
      <c r="F522" s="13" t="s">
        <v>17</v>
      </c>
      <c r="G52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2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2" s="19">
        <f>IFERROR(INDEX([1]!tb_Vendas[Crédito],MATCH(tb_Auditoria[[#This Row],[Nº CONTRATO]],[1]!tb_Vendas[Nº Contrato],0)),0)</f>
        <v>285491.3</v>
      </c>
      <c r="K522" s="21">
        <f>IFERROR(tb_Auditoria[[#This Row],[VALOR ESPERADO]] / tb_Auditoria[[#This Row],[VALOR CRÉDITO]], 0)</f>
        <v>0</v>
      </c>
      <c r="L522" s="19" t="e">
        <f>SUMIFS([1]!Motor_Comissão[Valor Previsto],[1]!Motor_Comissão[Chave], tb_Auditoria[[#This Row],[Nº CONTRATO]]&amp;"-"&amp;tb_Auditoria[[#This Row],[PARCELA ATUAL]])</f>
        <v>#REF!</v>
      </c>
      <c r="M522" s="19" t="e">
        <f>tb_Auditoria[[#This Row],[VALOR PAGO]] - tb_Auditoria[[#This Row],[VALOR ESPERADO]]</f>
        <v>#REF!</v>
      </c>
      <c r="N5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3" spans="1:15">
      <c r="A523" s="9">
        <v>1155946</v>
      </c>
      <c r="B523" s="10">
        <v>4</v>
      </c>
      <c r="C523" s="28">
        <v>4.7359999999999998E-3</v>
      </c>
      <c r="D523" s="12">
        <f>tb_Auditoria[[#This Row],[% TAXA RELATÓRIO]]*tb_Auditoria[[#This Row],[VALOR CRÉDITO]]</f>
        <v>1352.0867967999998</v>
      </c>
      <c r="E523" s="13">
        <v>46100</v>
      </c>
      <c r="F523" s="13" t="s">
        <v>17</v>
      </c>
      <c r="G52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2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3" s="19">
        <f>IFERROR(INDEX([1]!tb_Vendas[Crédito],MATCH(tb_Auditoria[[#This Row],[Nº CONTRATO]],[1]!tb_Vendas[Nº Contrato],0)),0)</f>
        <v>285491.3</v>
      </c>
      <c r="K523" s="21">
        <f>IFERROR(tb_Auditoria[[#This Row],[VALOR ESPERADO]] / tb_Auditoria[[#This Row],[VALOR CRÉDITO]], 0)</f>
        <v>0</v>
      </c>
      <c r="L523" s="19" t="e">
        <f>SUMIFS([1]!Motor_Comissão[Valor Previsto],[1]!Motor_Comissão[Chave], tb_Auditoria[[#This Row],[Nº CONTRATO]]&amp;"-"&amp;tb_Auditoria[[#This Row],[PARCELA ATUAL]])</f>
        <v>#REF!</v>
      </c>
      <c r="M523" s="19" t="e">
        <f>tb_Auditoria[[#This Row],[VALOR PAGO]] - tb_Auditoria[[#This Row],[VALOR ESPERADO]]</f>
        <v>#REF!</v>
      </c>
      <c r="N5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4" spans="1:15">
      <c r="A524" s="9">
        <v>1155946</v>
      </c>
      <c r="B524" s="10">
        <v>6</v>
      </c>
      <c r="C524" s="28">
        <v>4.7359999999999998E-3</v>
      </c>
      <c r="D524" s="12">
        <f>tb_Auditoria[[#This Row],[% TAXA RELATÓRIO]]*tb_Auditoria[[#This Row],[VALOR CRÉDITO]]</f>
        <v>1352.0867967999998</v>
      </c>
      <c r="E524" s="13">
        <v>46161</v>
      </c>
      <c r="F524" s="13" t="s">
        <v>17</v>
      </c>
      <c r="G52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2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4" s="19">
        <f>IFERROR(INDEX([1]!tb_Vendas[Crédito],MATCH(tb_Auditoria[[#This Row],[Nº CONTRATO]],[1]!tb_Vendas[Nº Contrato],0)),0)</f>
        <v>285491.3</v>
      </c>
      <c r="K524" s="21">
        <f>IFERROR(tb_Auditoria[[#This Row],[VALOR ESPERADO]] / tb_Auditoria[[#This Row],[VALOR CRÉDITO]], 0)</f>
        <v>0</v>
      </c>
      <c r="L524" s="19" t="e">
        <f>SUMIFS([1]!Motor_Comissão[Valor Previsto],[1]!Motor_Comissão[Chave], tb_Auditoria[[#This Row],[Nº CONTRATO]]&amp;"-"&amp;tb_Auditoria[[#This Row],[PARCELA ATUAL]])</f>
        <v>#REF!</v>
      </c>
      <c r="M524" s="19" t="e">
        <f>tb_Auditoria[[#This Row],[VALOR PAGO]] - tb_Auditoria[[#This Row],[VALOR ESPERADO]]</f>
        <v>#REF!</v>
      </c>
      <c r="N5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5" spans="1:15">
      <c r="A525" s="9">
        <v>1155946</v>
      </c>
      <c r="B525" s="10">
        <v>1</v>
      </c>
      <c r="C525" s="28">
        <v>4.7359999999999998E-3</v>
      </c>
      <c r="D525" s="12">
        <f>tb_Auditoria[[#This Row],[% TAXA RELATÓRIO]]*tb_Auditoria[[#This Row],[VALOR CRÉDITO]]</f>
        <v>1352.0867967999998</v>
      </c>
      <c r="E525" s="13">
        <v>46008</v>
      </c>
      <c r="F525" s="13" t="s">
        <v>17</v>
      </c>
      <c r="G52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2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5" s="19">
        <f>IFERROR(INDEX([1]!tb_Vendas[Crédito],MATCH(tb_Auditoria[[#This Row],[Nº CONTRATO]],[1]!tb_Vendas[Nº Contrato],0)),0)</f>
        <v>285491.3</v>
      </c>
      <c r="K525" s="21">
        <f>IFERROR(tb_Auditoria[[#This Row],[VALOR ESPERADO]] / tb_Auditoria[[#This Row],[VALOR CRÉDITO]], 0)</f>
        <v>0</v>
      </c>
      <c r="L525" s="19" t="e">
        <f>SUMIFS([1]!Motor_Comissão[Valor Previsto],[1]!Motor_Comissão[Chave], tb_Auditoria[[#This Row],[Nº CONTRATO]]&amp;"-"&amp;tb_Auditoria[[#This Row],[PARCELA ATUAL]])</f>
        <v>#REF!</v>
      </c>
      <c r="M525" s="19" t="e">
        <f>tb_Auditoria[[#This Row],[VALOR PAGO]] - tb_Auditoria[[#This Row],[VALOR ESPERADO]]</f>
        <v>#REF!</v>
      </c>
      <c r="N5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6" spans="1:15">
      <c r="A526" s="9">
        <v>1155946</v>
      </c>
      <c r="B526" s="10">
        <v>2</v>
      </c>
      <c r="C526" s="28">
        <v>4.7359999999999998E-3</v>
      </c>
      <c r="D526" s="12">
        <f>tb_Auditoria[[#This Row],[% TAXA RELATÓRIO]]*tb_Auditoria[[#This Row],[VALOR CRÉDITO]]</f>
        <v>1352.0867967999998</v>
      </c>
      <c r="E526" s="13">
        <v>46038</v>
      </c>
      <c r="F526" s="13" t="s">
        <v>17</v>
      </c>
      <c r="G52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2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6" s="19">
        <f>IFERROR(INDEX([1]!tb_Vendas[Crédito],MATCH(tb_Auditoria[[#This Row],[Nº CONTRATO]],[1]!tb_Vendas[Nº Contrato],0)),0)</f>
        <v>285491.3</v>
      </c>
      <c r="K526" s="21">
        <f>IFERROR(tb_Auditoria[[#This Row],[VALOR ESPERADO]] / tb_Auditoria[[#This Row],[VALOR CRÉDITO]], 0)</f>
        <v>0</v>
      </c>
      <c r="L526" s="19" t="e">
        <f>SUMIFS([1]!Motor_Comissão[Valor Previsto],[1]!Motor_Comissão[Chave], tb_Auditoria[[#This Row],[Nº CONTRATO]]&amp;"-"&amp;tb_Auditoria[[#This Row],[PARCELA ATUAL]])</f>
        <v>#REF!</v>
      </c>
      <c r="M526" s="19" t="e">
        <f>tb_Auditoria[[#This Row],[VALOR PAGO]] - tb_Auditoria[[#This Row],[VALOR ESPERADO]]</f>
        <v>#REF!</v>
      </c>
      <c r="N5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7" spans="1:15">
      <c r="A527" s="9">
        <v>1155946</v>
      </c>
      <c r="B527" s="10">
        <v>3</v>
      </c>
      <c r="C527" s="28">
        <v>4.7359999999999998E-3</v>
      </c>
      <c r="D527" s="12">
        <f>tb_Auditoria[[#This Row],[% TAXA RELATÓRIO]]*tb_Auditoria[[#This Row],[VALOR CRÉDITO]]</f>
        <v>1352.0867967999998</v>
      </c>
      <c r="E527" s="13">
        <v>46072</v>
      </c>
      <c r="F527" s="13" t="s">
        <v>17</v>
      </c>
      <c r="G52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2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7" s="19">
        <f>IFERROR(INDEX([1]!tb_Vendas[Crédito],MATCH(tb_Auditoria[[#This Row],[Nº CONTRATO]],[1]!tb_Vendas[Nº Contrato],0)),0)</f>
        <v>285491.3</v>
      </c>
      <c r="K527" s="21">
        <f>IFERROR(tb_Auditoria[[#This Row],[VALOR ESPERADO]] / tb_Auditoria[[#This Row],[VALOR CRÉDITO]], 0)</f>
        <v>0</v>
      </c>
      <c r="L527" s="19" t="e">
        <f>SUMIFS([1]!Motor_Comissão[Valor Previsto],[1]!Motor_Comissão[Chave], tb_Auditoria[[#This Row],[Nº CONTRATO]]&amp;"-"&amp;tb_Auditoria[[#This Row],[PARCELA ATUAL]])</f>
        <v>#REF!</v>
      </c>
      <c r="M527" s="19" t="e">
        <f>tb_Auditoria[[#This Row],[VALOR PAGO]] - tb_Auditoria[[#This Row],[VALOR ESPERADO]]</f>
        <v>#REF!</v>
      </c>
      <c r="N5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8" spans="1:15">
      <c r="A528" s="9">
        <v>1155946</v>
      </c>
      <c r="B528" s="10">
        <v>5</v>
      </c>
      <c r="C528" s="28">
        <v>4.7359999999999998E-3</v>
      </c>
      <c r="D528" s="12">
        <f>tb_Auditoria[[#This Row],[% TAXA RELATÓRIO]]*tb_Auditoria[[#This Row],[VALOR CRÉDITO]]</f>
        <v>1352.0867967999998</v>
      </c>
      <c r="E528" s="13">
        <v>46129</v>
      </c>
      <c r="F528" s="13" t="s">
        <v>17</v>
      </c>
      <c r="G52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2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8" s="19">
        <f>IFERROR(INDEX([1]!tb_Vendas[Crédito],MATCH(tb_Auditoria[[#This Row],[Nº CONTRATO]],[1]!tb_Vendas[Nº Contrato],0)),0)</f>
        <v>285491.3</v>
      </c>
      <c r="K528" s="21">
        <f>IFERROR(tb_Auditoria[[#This Row],[VALOR ESPERADO]] / tb_Auditoria[[#This Row],[VALOR CRÉDITO]], 0)</f>
        <v>0</v>
      </c>
      <c r="L528" s="19" t="e">
        <f>SUMIFS([1]!Motor_Comissão[Valor Previsto],[1]!Motor_Comissão[Chave], tb_Auditoria[[#This Row],[Nº CONTRATO]]&amp;"-"&amp;tb_Auditoria[[#This Row],[PARCELA ATUAL]])</f>
        <v>#REF!</v>
      </c>
      <c r="M528" s="19" t="e">
        <f>tb_Auditoria[[#This Row],[VALOR PAGO]] - tb_Auditoria[[#This Row],[VALOR ESPERADO]]</f>
        <v>#REF!</v>
      </c>
      <c r="N5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29" spans="1:15">
      <c r="A529" s="9">
        <v>1155958</v>
      </c>
      <c r="B529" s="10">
        <v>4</v>
      </c>
      <c r="C529" s="28">
        <v>4.8640000000000003E-3</v>
      </c>
      <c r="D529" s="12">
        <f>tb_Auditoria[[#This Row],[% TAXA RELATÓRIO]]*tb_Auditoria[[#This Row],[VALOR CRÉDITO]]</f>
        <v>1357.13834752</v>
      </c>
      <c r="E529" s="13">
        <v>46100</v>
      </c>
      <c r="F529" s="13" t="s">
        <v>17</v>
      </c>
      <c r="G52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2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2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29" s="19">
        <f>IFERROR(INDEX([1]!tb_Vendas[Crédito],MATCH(tb_Auditoria[[#This Row],[Nº CONTRATO]],[1]!tb_Vendas[Nº Contrato],0)),0)</f>
        <v>279016.93</v>
      </c>
      <c r="K529" s="21">
        <f>IFERROR(tb_Auditoria[[#This Row],[VALOR ESPERADO]] / tb_Auditoria[[#This Row],[VALOR CRÉDITO]], 0)</f>
        <v>0</v>
      </c>
      <c r="L529" s="19" t="e">
        <f>SUMIFS([1]!Motor_Comissão[Valor Previsto],[1]!Motor_Comissão[Chave], tb_Auditoria[[#This Row],[Nº CONTRATO]]&amp;"-"&amp;tb_Auditoria[[#This Row],[PARCELA ATUAL]])</f>
        <v>#REF!</v>
      </c>
      <c r="M529" s="19" t="e">
        <f>tb_Auditoria[[#This Row],[VALOR PAGO]] - tb_Auditoria[[#This Row],[VALOR ESPERADO]]</f>
        <v>#REF!</v>
      </c>
      <c r="N5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0" spans="1:15">
      <c r="A530" s="9">
        <v>1155958</v>
      </c>
      <c r="B530" s="10">
        <v>6</v>
      </c>
      <c r="C530" s="28">
        <v>4.8640000000000003E-3</v>
      </c>
      <c r="D530" s="12">
        <f>tb_Auditoria[[#This Row],[% TAXA RELATÓRIO]]*tb_Auditoria[[#This Row],[VALOR CRÉDITO]]</f>
        <v>1357.13834752</v>
      </c>
      <c r="E530" s="13">
        <v>46161</v>
      </c>
      <c r="F530" s="13" t="s">
        <v>17</v>
      </c>
      <c r="G53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3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0" s="19">
        <f>IFERROR(INDEX([1]!tb_Vendas[Crédito],MATCH(tb_Auditoria[[#This Row],[Nº CONTRATO]],[1]!tb_Vendas[Nº Contrato],0)),0)</f>
        <v>279016.93</v>
      </c>
      <c r="K530" s="21">
        <f>IFERROR(tb_Auditoria[[#This Row],[VALOR ESPERADO]] / tb_Auditoria[[#This Row],[VALOR CRÉDITO]], 0)</f>
        <v>0</v>
      </c>
      <c r="L530" s="19" t="e">
        <f>SUMIFS([1]!Motor_Comissão[Valor Previsto],[1]!Motor_Comissão[Chave], tb_Auditoria[[#This Row],[Nº CONTRATO]]&amp;"-"&amp;tb_Auditoria[[#This Row],[PARCELA ATUAL]])</f>
        <v>#REF!</v>
      </c>
      <c r="M530" s="19" t="e">
        <f>tb_Auditoria[[#This Row],[VALOR PAGO]] - tb_Auditoria[[#This Row],[VALOR ESPERADO]]</f>
        <v>#REF!</v>
      </c>
      <c r="N5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1" spans="1:15">
      <c r="A531" s="9">
        <v>1155958</v>
      </c>
      <c r="B531" s="10">
        <v>1</v>
      </c>
      <c r="C531" s="28">
        <v>4.8640000000000003E-3</v>
      </c>
      <c r="D531" s="12">
        <f>tb_Auditoria[[#This Row],[% TAXA RELATÓRIO]]*tb_Auditoria[[#This Row],[VALOR CRÉDITO]]</f>
        <v>1357.13834752</v>
      </c>
      <c r="E531" s="13">
        <v>46008</v>
      </c>
      <c r="F531" s="13" t="s">
        <v>17</v>
      </c>
      <c r="G53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3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1" s="19">
        <f>IFERROR(INDEX([1]!tb_Vendas[Crédito],MATCH(tb_Auditoria[[#This Row],[Nº CONTRATO]],[1]!tb_Vendas[Nº Contrato],0)),0)</f>
        <v>279016.93</v>
      </c>
      <c r="K531" s="21">
        <f>IFERROR(tb_Auditoria[[#This Row],[VALOR ESPERADO]] / tb_Auditoria[[#This Row],[VALOR CRÉDITO]], 0)</f>
        <v>0</v>
      </c>
      <c r="L531" s="19" t="e">
        <f>SUMIFS([1]!Motor_Comissão[Valor Previsto],[1]!Motor_Comissão[Chave], tb_Auditoria[[#This Row],[Nº CONTRATO]]&amp;"-"&amp;tb_Auditoria[[#This Row],[PARCELA ATUAL]])</f>
        <v>#REF!</v>
      </c>
      <c r="M531" s="19" t="e">
        <f>tb_Auditoria[[#This Row],[VALOR PAGO]] - tb_Auditoria[[#This Row],[VALOR ESPERADO]]</f>
        <v>#REF!</v>
      </c>
      <c r="N5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2" spans="1:15">
      <c r="A532" s="9">
        <v>1155958</v>
      </c>
      <c r="B532" s="10">
        <v>2</v>
      </c>
      <c r="C532" s="28">
        <v>4.8640000000000003E-3</v>
      </c>
      <c r="D532" s="12">
        <f>tb_Auditoria[[#This Row],[% TAXA RELATÓRIO]]*tb_Auditoria[[#This Row],[VALOR CRÉDITO]]</f>
        <v>1357.13834752</v>
      </c>
      <c r="E532" s="13">
        <v>46038</v>
      </c>
      <c r="F532" s="13" t="s">
        <v>17</v>
      </c>
      <c r="G53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3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2" s="19">
        <f>IFERROR(INDEX([1]!tb_Vendas[Crédito],MATCH(tb_Auditoria[[#This Row],[Nº CONTRATO]],[1]!tb_Vendas[Nº Contrato],0)),0)</f>
        <v>279016.93</v>
      </c>
      <c r="K532" s="21">
        <f>IFERROR(tb_Auditoria[[#This Row],[VALOR ESPERADO]] / tb_Auditoria[[#This Row],[VALOR CRÉDITO]], 0)</f>
        <v>0</v>
      </c>
      <c r="L532" s="19" t="e">
        <f>SUMIFS([1]!Motor_Comissão[Valor Previsto],[1]!Motor_Comissão[Chave], tb_Auditoria[[#This Row],[Nº CONTRATO]]&amp;"-"&amp;tb_Auditoria[[#This Row],[PARCELA ATUAL]])</f>
        <v>#REF!</v>
      </c>
      <c r="M532" s="19" t="e">
        <f>tb_Auditoria[[#This Row],[VALOR PAGO]] - tb_Auditoria[[#This Row],[VALOR ESPERADO]]</f>
        <v>#REF!</v>
      </c>
      <c r="N5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3" spans="1:15">
      <c r="A533" s="9">
        <v>1155958</v>
      </c>
      <c r="B533" s="10">
        <v>3</v>
      </c>
      <c r="C533" s="28">
        <v>4.8640000000000003E-3</v>
      </c>
      <c r="D533" s="12">
        <f>tb_Auditoria[[#This Row],[% TAXA RELATÓRIO]]*tb_Auditoria[[#This Row],[VALOR CRÉDITO]]</f>
        <v>1357.13834752</v>
      </c>
      <c r="E533" s="13">
        <v>46072</v>
      </c>
      <c r="F533" s="13" t="s">
        <v>17</v>
      </c>
      <c r="G53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3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3" s="19">
        <f>IFERROR(INDEX([1]!tb_Vendas[Crédito],MATCH(tb_Auditoria[[#This Row],[Nº CONTRATO]],[1]!tb_Vendas[Nº Contrato],0)),0)</f>
        <v>279016.93</v>
      </c>
      <c r="K533" s="21">
        <f>IFERROR(tb_Auditoria[[#This Row],[VALOR ESPERADO]] / tb_Auditoria[[#This Row],[VALOR CRÉDITO]], 0)</f>
        <v>0</v>
      </c>
      <c r="L533" s="19" t="e">
        <f>SUMIFS([1]!Motor_Comissão[Valor Previsto],[1]!Motor_Comissão[Chave], tb_Auditoria[[#This Row],[Nº CONTRATO]]&amp;"-"&amp;tb_Auditoria[[#This Row],[PARCELA ATUAL]])</f>
        <v>#REF!</v>
      </c>
      <c r="M533" s="19" t="e">
        <f>tb_Auditoria[[#This Row],[VALOR PAGO]] - tb_Auditoria[[#This Row],[VALOR ESPERADO]]</f>
        <v>#REF!</v>
      </c>
      <c r="N5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4" spans="1:15">
      <c r="A534" s="9">
        <v>1155958</v>
      </c>
      <c r="B534" s="10">
        <v>5</v>
      </c>
      <c r="C534" s="28">
        <v>4.8640000000000003E-3</v>
      </c>
      <c r="D534" s="12">
        <f>tb_Auditoria[[#This Row],[% TAXA RELATÓRIO]]*tb_Auditoria[[#This Row],[VALOR CRÉDITO]]</f>
        <v>1357.13834752</v>
      </c>
      <c r="E534" s="13">
        <v>46129</v>
      </c>
      <c r="F534" s="13" t="s">
        <v>17</v>
      </c>
      <c r="G53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3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4" s="19">
        <f>IFERROR(INDEX([1]!tb_Vendas[Crédito],MATCH(tb_Auditoria[[#This Row],[Nº CONTRATO]],[1]!tb_Vendas[Nº Contrato],0)),0)</f>
        <v>279016.93</v>
      </c>
      <c r="K534" s="21">
        <f>IFERROR(tb_Auditoria[[#This Row],[VALOR ESPERADO]] / tb_Auditoria[[#This Row],[VALOR CRÉDITO]], 0)</f>
        <v>0</v>
      </c>
      <c r="L534" s="19" t="e">
        <f>SUMIFS([1]!Motor_Comissão[Valor Previsto],[1]!Motor_Comissão[Chave], tb_Auditoria[[#This Row],[Nº CONTRATO]]&amp;"-"&amp;tb_Auditoria[[#This Row],[PARCELA ATUAL]])</f>
        <v>#REF!</v>
      </c>
      <c r="M534" s="19" t="e">
        <f>tb_Auditoria[[#This Row],[VALOR PAGO]] - tb_Auditoria[[#This Row],[VALOR ESPERADO]]</f>
        <v>#REF!</v>
      </c>
      <c r="N5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5" spans="1:15">
      <c r="A535" s="9">
        <v>1155973</v>
      </c>
      <c r="B535" s="10">
        <v>4</v>
      </c>
      <c r="C535" s="28">
        <v>4.4799999999999996E-3</v>
      </c>
      <c r="D535" s="12">
        <f>tb_Auditoria[[#This Row],[% TAXA RELATÓRIO]]*tb_Auditoria[[#This Row],[VALOR CRÉDITO]]</f>
        <v>784.15868160000002</v>
      </c>
      <c r="E535" s="13">
        <v>46100</v>
      </c>
      <c r="F535" s="13" t="s">
        <v>17</v>
      </c>
      <c r="G53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3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5" s="19">
        <f>IFERROR(INDEX([1]!tb_Vendas[Crédito],MATCH(tb_Auditoria[[#This Row],[Nº CONTRATO]],[1]!tb_Vendas[Nº Contrato],0)),0)</f>
        <v>175035.42</v>
      </c>
      <c r="K535" s="21">
        <f>IFERROR(tb_Auditoria[[#This Row],[VALOR ESPERADO]] / tb_Auditoria[[#This Row],[VALOR CRÉDITO]], 0)</f>
        <v>0</v>
      </c>
      <c r="L535" s="19" t="e">
        <f>SUMIFS([1]!Motor_Comissão[Valor Previsto],[1]!Motor_Comissão[Chave], tb_Auditoria[[#This Row],[Nº CONTRATO]]&amp;"-"&amp;tb_Auditoria[[#This Row],[PARCELA ATUAL]])</f>
        <v>#REF!</v>
      </c>
      <c r="M535" s="19" t="e">
        <f>tb_Auditoria[[#This Row],[VALOR PAGO]] - tb_Auditoria[[#This Row],[VALOR ESPERADO]]</f>
        <v>#REF!</v>
      </c>
      <c r="N5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6" spans="1:15">
      <c r="A536" s="9">
        <v>1155973</v>
      </c>
      <c r="B536" s="10">
        <v>6</v>
      </c>
      <c r="C536" s="28">
        <v>4.4799999999999996E-3</v>
      </c>
      <c r="D536" s="12">
        <f>tb_Auditoria[[#This Row],[% TAXA RELATÓRIO]]*tb_Auditoria[[#This Row],[VALOR CRÉDITO]]</f>
        <v>784.15868160000002</v>
      </c>
      <c r="E536" s="13">
        <v>46161</v>
      </c>
      <c r="F536" s="13" t="s">
        <v>17</v>
      </c>
      <c r="G53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3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6" s="19">
        <f>IFERROR(INDEX([1]!tb_Vendas[Crédito],MATCH(tb_Auditoria[[#This Row],[Nº CONTRATO]],[1]!tb_Vendas[Nº Contrato],0)),0)</f>
        <v>175035.42</v>
      </c>
      <c r="K536" s="21">
        <f>IFERROR(tb_Auditoria[[#This Row],[VALOR ESPERADO]] / tb_Auditoria[[#This Row],[VALOR CRÉDITO]], 0)</f>
        <v>0</v>
      </c>
      <c r="L536" s="19" t="e">
        <f>SUMIFS([1]!Motor_Comissão[Valor Previsto],[1]!Motor_Comissão[Chave], tb_Auditoria[[#This Row],[Nº CONTRATO]]&amp;"-"&amp;tb_Auditoria[[#This Row],[PARCELA ATUAL]])</f>
        <v>#REF!</v>
      </c>
      <c r="M536" s="19" t="e">
        <f>tb_Auditoria[[#This Row],[VALOR PAGO]] - tb_Auditoria[[#This Row],[VALOR ESPERADO]]</f>
        <v>#REF!</v>
      </c>
      <c r="N5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7" spans="1:15">
      <c r="A537" s="9">
        <v>1155973</v>
      </c>
      <c r="B537" s="10">
        <v>1</v>
      </c>
      <c r="C537" s="28">
        <v>4.4799999999999996E-3</v>
      </c>
      <c r="D537" s="12">
        <f>tb_Auditoria[[#This Row],[% TAXA RELATÓRIO]]*tb_Auditoria[[#This Row],[VALOR CRÉDITO]]</f>
        <v>784.15868160000002</v>
      </c>
      <c r="E537" s="13">
        <v>46008</v>
      </c>
      <c r="F537" s="13" t="s">
        <v>17</v>
      </c>
      <c r="G53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3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7" s="19">
        <f>IFERROR(INDEX([1]!tb_Vendas[Crédito],MATCH(tb_Auditoria[[#This Row],[Nº CONTRATO]],[1]!tb_Vendas[Nº Contrato],0)),0)</f>
        <v>175035.42</v>
      </c>
      <c r="K537" s="21">
        <f>IFERROR(tb_Auditoria[[#This Row],[VALOR ESPERADO]] / tb_Auditoria[[#This Row],[VALOR CRÉDITO]], 0)</f>
        <v>0</v>
      </c>
      <c r="L537" s="19" t="e">
        <f>SUMIFS([1]!Motor_Comissão[Valor Previsto],[1]!Motor_Comissão[Chave], tb_Auditoria[[#This Row],[Nº CONTRATO]]&amp;"-"&amp;tb_Auditoria[[#This Row],[PARCELA ATUAL]])</f>
        <v>#REF!</v>
      </c>
      <c r="M537" s="19" t="e">
        <f>tb_Auditoria[[#This Row],[VALOR PAGO]] - tb_Auditoria[[#This Row],[VALOR ESPERADO]]</f>
        <v>#REF!</v>
      </c>
      <c r="N5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8" spans="1:15">
      <c r="A538" s="9">
        <v>1155973</v>
      </c>
      <c r="B538" s="10">
        <v>2</v>
      </c>
      <c r="C538" s="28">
        <v>4.4799999999999996E-3</v>
      </c>
      <c r="D538" s="12">
        <f>tb_Auditoria[[#This Row],[% TAXA RELATÓRIO]]*tb_Auditoria[[#This Row],[VALOR CRÉDITO]]</f>
        <v>784.15868160000002</v>
      </c>
      <c r="E538" s="13">
        <v>46038</v>
      </c>
      <c r="F538" s="13" t="s">
        <v>17</v>
      </c>
      <c r="G53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3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8" s="19">
        <f>IFERROR(INDEX([1]!tb_Vendas[Crédito],MATCH(tb_Auditoria[[#This Row],[Nº CONTRATO]],[1]!tb_Vendas[Nº Contrato],0)),0)</f>
        <v>175035.42</v>
      </c>
      <c r="K538" s="21">
        <f>IFERROR(tb_Auditoria[[#This Row],[VALOR ESPERADO]] / tb_Auditoria[[#This Row],[VALOR CRÉDITO]], 0)</f>
        <v>0</v>
      </c>
      <c r="L538" s="19" t="e">
        <f>SUMIFS([1]!Motor_Comissão[Valor Previsto],[1]!Motor_Comissão[Chave], tb_Auditoria[[#This Row],[Nº CONTRATO]]&amp;"-"&amp;tb_Auditoria[[#This Row],[PARCELA ATUAL]])</f>
        <v>#REF!</v>
      </c>
      <c r="M538" s="19" t="e">
        <f>tb_Auditoria[[#This Row],[VALOR PAGO]] - tb_Auditoria[[#This Row],[VALOR ESPERADO]]</f>
        <v>#REF!</v>
      </c>
      <c r="N5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39" spans="1:15">
      <c r="A539" s="9">
        <v>1155973</v>
      </c>
      <c r="B539" s="10">
        <v>3</v>
      </c>
      <c r="C539" s="28">
        <v>4.4799999999999996E-3</v>
      </c>
      <c r="D539" s="12">
        <f>tb_Auditoria[[#This Row],[% TAXA RELATÓRIO]]*tb_Auditoria[[#This Row],[VALOR CRÉDITO]]</f>
        <v>784.15868160000002</v>
      </c>
      <c r="E539" s="13">
        <v>46072</v>
      </c>
      <c r="F539" s="13" t="s">
        <v>17</v>
      </c>
      <c r="G53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3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3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39" s="19">
        <f>IFERROR(INDEX([1]!tb_Vendas[Crédito],MATCH(tb_Auditoria[[#This Row],[Nº CONTRATO]],[1]!tb_Vendas[Nº Contrato],0)),0)</f>
        <v>175035.42</v>
      </c>
      <c r="K539" s="21">
        <f>IFERROR(tb_Auditoria[[#This Row],[VALOR ESPERADO]] / tb_Auditoria[[#This Row],[VALOR CRÉDITO]], 0)</f>
        <v>0</v>
      </c>
      <c r="L539" s="19" t="e">
        <f>SUMIFS([1]!Motor_Comissão[Valor Previsto],[1]!Motor_Comissão[Chave], tb_Auditoria[[#This Row],[Nº CONTRATO]]&amp;"-"&amp;tb_Auditoria[[#This Row],[PARCELA ATUAL]])</f>
        <v>#REF!</v>
      </c>
      <c r="M539" s="19" t="e">
        <f>tb_Auditoria[[#This Row],[VALOR PAGO]] - tb_Auditoria[[#This Row],[VALOR ESPERADO]]</f>
        <v>#REF!</v>
      </c>
      <c r="N5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0" spans="1:15">
      <c r="A540" s="9">
        <v>1155973</v>
      </c>
      <c r="B540" s="10">
        <v>5</v>
      </c>
      <c r="C540" s="28">
        <v>4.4799999999999996E-3</v>
      </c>
      <c r="D540" s="12">
        <f>tb_Auditoria[[#This Row],[% TAXA RELATÓRIO]]*tb_Auditoria[[#This Row],[VALOR CRÉDITO]]</f>
        <v>784.15868160000002</v>
      </c>
      <c r="E540" s="13">
        <v>46129</v>
      </c>
      <c r="F540" s="13" t="s">
        <v>17</v>
      </c>
      <c r="G54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4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0" s="19">
        <f>IFERROR(INDEX([1]!tb_Vendas[Crédito],MATCH(tb_Auditoria[[#This Row],[Nº CONTRATO]],[1]!tb_Vendas[Nº Contrato],0)),0)</f>
        <v>175035.42</v>
      </c>
      <c r="K540" s="21">
        <f>IFERROR(tb_Auditoria[[#This Row],[VALOR ESPERADO]] / tb_Auditoria[[#This Row],[VALOR CRÉDITO]], 0)</f>
        <v>0</v>
      </c>
      <c r="L540" s="19" t="e">
        <f>SUMIFS([1]!Motor_Comissão[Valor Previsto],[1]!Motor_Comissão[Chave], tb_Auditoria[[#This Row],[Nº CONTRATO]]&amp;"-"&amp;tb_Auditoria[[#This Row],[PARCELA ATUAL]])</f>
        <v>#REF!</v>
      </c>
      <c r="M540" s="19" t="e">
        <f>tb_Auditoria[[#This Row],[VALOR PAGO]] - tb_Auditoria[[#This Row],[VALOR ESPERADO]]</f>
        <v>#REF!</v>
      </c>
      <c r="N5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1" spans="1:15">
      <c r="A541" s="9">
        <v>1155976</v>
      </c>
      <c r="B541" s="10">
        <v>4</v>
      </c>
      <c r="C541" s="28">
        <v>3.5999999999999999E-3</v>
      </c>
      <c r="D541" s="12">
        <f>tb_Auditoria[[#This Row],[% TAXA RELATÓRIO]]*tb_Auditoria[[#This Row],[VALOR CRÉDITO]]</f>
        <v>1440</v>
      </c>
      <c r="E541" s="13">
        <v>46100</v>
      </c>
      <c r="F541" s="13" t="s">
        <v>17</v>
      </c>
      <c r="G54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4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1" s="19">
        <f>IFERROR(INDEX([1]!tb_Vendas[Crédito],MATCH(tb_Auditoria[[#This Row],[Nº CONTRATO]],[1]!tb_Vendas[Nº Contrato],0)),0)</f>
        <v>400000</v>
      </c>
      <c r="K541" s="21">
        <f>IFERROR(tb_Auditoria[[#This Row],[VALOR ESPERADO]] / tb_Auditoria[[#This Row],[VALOR CRÉDITO]], 0)</f>
        <v>0</v>
      </c>
      <c r="L541" s="19" t="e">
        <f>SUMIFS([1]!Motor_Comissão[Valor Previsto],[1]!Motor_Comissão[Chave], tb_Auditoria[[#This Row],[Nº CONTRATO]]&amp;"-"&amp;tb_Auditoria[[#This Row],[PARCELA ATUAL]])</f>
        <v>#REF!</v>
      </c>
      <c r="M541" s="19" t="e">
        <f>tb_Auditoria[[#This Row],[VALOR PAGO]] - tb_Auditoria[[#This Row],[VALOR ESPERADO]]</f>
        <v>#REF!</v>
      </c>
      <c r="N5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2" spans="1:15">
      <c r="A542" s="9">
        <v>1155976</v>
      </c>
      <c r="B542" s="10">
        <v>6</v>
      </c>
      <c r="C542" s="28">
        <v>3.5999999999999999E-3</v>
      </c>
      <c r="D542" s="12">
        <f>tb_Auditoria[[#This Row],[% TAXA RELATÓRIO]]*tb_Auditoria[[#This Row],[VALOR CRÉDITO]]</f>
        <v>1440</v>
      </c>
      <c r="E542" s="13">
        <v>46161</v>
      </c>
      <c r="F542" s="13" t="s">
        <v>17</v>
      </c>
      <c r="G54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4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2" s="19">
        <f>IFERROR(INDEX([1]!tb_Vendas[Crédito],MATCH(tb_Auditoria[[#This Row],[Nº CONTRATO]],[1]!tb_Vendas[Nº Contrato],0)),0)</f>
        <v>400000</v>
      </c>
      <c r="K542" s="21">
        <f>IFERROR(tb_Auditoria[[#This Row],[VALOR ESPERADO]] / tb_Auditoria[[#This Row],[VALOR CRÉDITO]], 0)</f>
        <v>0</v>
      </c>
      <c r="L542" s="19" t="e">
        <f>SUMIFS([1]!Motor_Comissão[Valor Previsto],[1]!Motor_Comissão[Chave], tb_Auditoria[[#This Row],[Nº CONTRATO]]&amp;"-"&amp;tb_Auditoria[[#This Row],[PARCELA ATUAL]])</f>
        <v>#REF!</v>
      </c>
      <c r="M542" s="19" t="e">
        <f>tb_Auditoria[[#This Row],[VALOR PAGO]] - tb_Auditoria[[#This Row],[VALOR ESPERADO]]</f>
        <v>#REF!</v>
      </c>
      <c r="N5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3" spans="1:15">
      <c r="A543" s="9">
        <v>1155976</v>
      </c>
      <c r="B543" s="10">
        <v>1</v>
      </c>
      <c r="C543" s="28">
        <v>4.1399999999999996E-3</v>
      </c>
      <c r="D543" s="12">
        <f>tb_Auditoria[[#This Row],[% TAXA RELATÓRIO]]*tb_Auditoria[[#This Row],[VALOR CRÉDITO]]</f>
        <v>1655.9999999999998</v>
      </c>
      <c r="E543" s="13">
        <v>46008</v>
      </c>
      <c r="F543" s="13" t="s">
        <v>17</v>
      </c>
      <c r="G54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4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3" s="19">
        <f>IFERROR(INDEX([1]!tb_Vendas[Crédito],MATCH(tb_Auditoria[[#This Row],[Nº CONTRATO]],[1]!tb_Vendas[Nº Contrato],0)),0)</f>
        <v>400000</v>
      </c>
      <c r="K543" s="21">
        <f>IFERROR(tb_Auditoria[[#This Row],[VALOR ESPERADO]] / tb_Auditoria[[#This Row],[VALOR CRÉDITO]], 0)</f>
        <v>0</v>
      </c>
      <c r="L543" s="19" t="e">
        <f>SUMIFS([1]!Motor_Comissão[Valor Previsto],[1]!Motor_Comissão[Chave], tb_Auditoria[[#This Row],[Nº CONTRATO]]&amp;"-"&amp;tb_Auditoria[[#This Row],[PARCELA ATUAL]])</f>
        <v>#REF!</v>
      </c>
      <c r="M543" s="19" t="e">
        <f>tb_Auditoria[[#This Row],[VALOR PAGO]] - tb_Auditoria[[#This Row],[VALOR ESPERADO]]</f>
        <v>#REF!</v>
      </c>
      <c r="N5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4" spans="1:15">
      <c r="A544" s="9">
        <v>1155976</v>
      </c>
      <c r="B544" s="10">
        <v>2</v>
      </c>
      <c r="C544" s="28">
        <v>3.5999999999999999E-3</v>
      </c>
      <c r="D544" s="12">
        <f>tb_Auditoria[[#This Row],[% TAXA RELATÓRIO]]*tb_Auditoria[[#This Row],[VALOR CRÉDITO]]</f>
        <v>1440</v>
      </c>
      <c r="E544" s="13">
        <v>46038</v>
      </c>
      <c r="F544" s="13" t="s">
        <v>17</v>
      </c>
      <c r="G54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4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4" s="19">
        <f>IFERROR(INDEX([1]!tb_Vendas[Crédito],MATCH(tb_Auditoria[[#This Row],[Nº CONTRATO]],[1]!tb_Vendas[Nº Contrato],0)),0)</f>
        <v>400000</v>
      </c>
      <c r="K544" s="21">
        <f>IFERROR(tb_Auditoria[[#This Row],[VALOR ESPERADO]] / tb_Auditoria[[#This Row],[VALOR CRÉDITO]], 0)</f>
        <v>0</v>
      </c>
      <c r="L544" s="19" t="e">
        <f>SUMIFS([1]!Motor_Comissão[Valor Previsto],[1]!Motor_Comissão[Chave], tb_Auditoria[[#This Row],[Nº CONTRATO]]&amp;"-"&amp;tb_Auditoria[[#This Row],[PARCELA ATUAL]])</f>
        <v>#REF!</v>
      </c>
      <c r="M544" s="19" t="e">
        <f>tb_Auditoria[[#This Row],[VALOR PAGO]] - tb_Auditoria[[#This Row],[VALOR ESPERADO]]</f>
        <v>#REF!</v>
      </c>
      <c r="N5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5" spans="1:15">
      <c r="A545" s="9">
        <v>1155976</v>
      </c>
      <c r="B545" s="10">
        <v>3</v>
      </c>
      <c r="C545" s="28">
        <v>3.5999999999999999E-3</v>
      </c>
      <c r="D545" s="12">
        <f>tb_Auditoria[[#This Row],[% TAXA RELATÓRIO]]*tb_Auditoria[[#This Row],[VALOR CRÉDITO]]</f>
        <v>1440</v>
      </c>
      <c r="E545" s="13">
        <v>46072</v>
      </c>
      <c r="F545" s="13" t="s">
        <v>17</v>
      </c>
      <c r="G54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4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5" s="19">
        <f>IFERROR(INDEX([1]!tb_Vendas[Crédito],MATCH(tb_Auditoria[[#This Row],[Nº CONTRATO]],[1]!tb_Vendas[Nº Contrato],0)),0)</f>
        <v>400000</v>
      </c>
      <c r="K545" s="21">
        <f>IFERROR(tb_Auditoria[[#This Row],[VALOR ESPERADO]] / tb_Auditoria[[#This Row],[VALOR CRÉDITO]], 0)</f>
        <v>0</v>
      </c>
      <c r="L545" s="19" t="e">
        <f>SUMIFS([1]!Motor_Comissão[Valor Previsto],[1]!Motor_Comissão[Chave], tb_Auditoria[[#This Row],[Nº CONTRATO]]&amp;"-"&amp;tb_Auditoria[[#This Row],[PARCELA ATUAL]])</f>
        <v>#REF!</v>
      </c>
      <c r="M545" s="19" t="e">
        <f>tb_Auditoria[[#This Row],[VALOR PAGO]] - tb_Auditoria[[#This Row],[VALOR ESPERADO]]</f>
        <v>#REF!</v>
      </c>
      <c r="N5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6" spans="1:15">
      <c r="A546" s="9">
        <v>1155976</v>
      </c>
      <c r="B546" s="10">
        <v>5</v>
      </c>
      <c r="C546" s="28">
        <v>3.5999999999999999E-3</v>
      </c>
      <c r="D546" s="12">
        <f>tb_Auditoria[[#This Row],[% TAXA RELATÓRIO]]*tb_Auditoria[[#This Row],[VALOR CRÉDITO]]</f>
        <v>1440</v>
      </c>
      <c r="E546" s="13">
        <v>46129</v>
      </c>
      <c r="F546" s="13" t="s">
        <v>17</v>
      </c>
      <c r="G54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4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6" s="19">
        <f>IFERROR(INDEX([1]!tb_Vendas[Crédito],MATCH(tb_Auditoria[[#This Row],[Nº CONTRATO]],[1]!tb_Vendas[Nº Contrato],0)),0)</f>
        <v>400000</v>
      </c>
      <c r="K546" s="21">
        <f>IFERROR(tb_Auditoria[[#This Row],[VALOR ESPERADO]] / tb_Auditoria[[#This Row],[VALOR CRÉDITO]], 0)</f>
        <v>0</v>
      </c>
      <c r="L546" s="19" t="e">
        <f>SUMIFS([1]!Motor_Comissão[Valor Previsto],[1]!Motor_Comissão[Chave], tb_Auditoria[[#This Row],[Nº CONTRATO]]&amp;"-"&amp;tb_Auditoria[[#This Row],[PARCELA ATUAL]])</f>
        <v>#REF!</v>
      </c>
      <c r="M546" s="19" t="e">
        <f>tb_Auditoria[[#This Row],[VALOR PAGO]] - tb_Auditoria[[#This Row],[VALOR ESPERADO]]</f>
        <v>#REF!</v>
      </c>
      <c r="N5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7" spans="1:15">
      <c r="A547" s="9">
        <v>1155978</v>
      </c>
      <c r="B547" s="10">
        <v>4</v>
      </c>
      <c r="C547" s="28">
        <v>3.5999999999999999E-3</v>
      </c>
      <c r="D547" s="12">
        <f>tb_Auditoria[[#This Row],[% TAXA RELATÓRIO]]*tb_Auditoria[[#This Row],[VALOR CRÉDITO]]</f>
        <v>1440</v>
      </c>
      <c r="E547" s="13">
        <v>46100</v>
      </c>
      <c r="F547" s="13" t="s">
        <v>17</v>
      </c>
      <c r="G54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4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7" s="19">
        <f>IFERROR(INDEX([1]!tb_Vendas[Crédito],MATCH(tb_Auditoria[[#This Row],[Nº CONTRATO]],[1]!tb_Vendas[Nº Contrato],0)),0)</f>
        <v>400000</v>
      </c>
      <c r="K547" s="21">
        <f>IFERROR(tb_Auditoria[[#This Row],[VALOR ESPERADO]] / tb_Auditoria[[#This Row],[VALOR CRÉDITO]], 0)</f>
        <v>0</v>
      </c>
      <c r="L547" s="19" t="e">
        <f>SUMIFS([1]!Motor_Comissão[Valor Previsto],[1]!Motor_Comissão[Chave], tb_Auditoria[[#This Row],[Nº CONTRATO]]&amp;"-"&amp;tb_Auditoria[[#This Row],[PARCELA ATUAL]])</f>
        <v>#REF!</v>
      </c>
      <c r="M547" s="19" t="e">
        <f>tb_Auditoria[[#This Row],[VALOR PAGO]] - tb_Auditoria[[#This Row],[VALOR ESPERADO]]</f>
        <v>#REF!</v>
      </c>
      <c r="N5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8" spans="1:15">
      <c r="A548" s="9">
        <v>1155978</v>
      </c>
      <c r="B548" s="10">
        <v>6</v>
      </c>
      <c r="C548" s="28">
        <v>3.5999999999999999E-3</v>
      </c>
      <c r="D548" s="12">
        <f>tb_Auditoria[[#This Row],[% TAXA RELATÓRIO]]*tb_Auditoria[[#This Row],[VALOR CRÉDITO]]</f>
        <v>1440</v>
      </c>
      <c r="E548" s="13">
        <v>46161</v>
      </c>
      <c r="F548" s="13" t="s">
        <v>17</v>
      </c>
      <c r="G54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4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8" s="19">
        <f>IFERROR(INDEX([1]!tb_Vendas[Crédito],MATCH(tb_Auditoria[[#This Row],[Nº CONTRATO]],[1]!tb_Vendas[Nº Contrato],0)),0)</f>
        <v>400000</v>
      </c>
      <c r="K548" s="21">
        <f>IFERROR(tb_Auditoria[[#This Row],[VALOR ESPERADO]] / tb_Auditoria[[#This Row],[VALOR CRÉDITO]], 0)</f>
        <v>0</v>
      </c>
      <c r="L548" s="19" t="e">
        <f>SUMIFS([1]!Motor_Comissão[Valor Previsto],[1]!Motor_Comissão[Chave], tb_Auditoria[[#This Row],[Nº CONTRATO]]&amp;"-"&amp;tb_Auditoria[[#This Row],[PARCELA ATUAL]])</f>
        <v>#REF!</v>
      </c>
      <c r="M548" s="19" t="e">
        <f>tb_Auditoria[[#This Row],[VALOR PAGO]] - tb_Auditoria[[#This Row],[VALOR ESPERADO]]</f>
        <v>#REF!</v>
      </c>
      <c r="N5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49" spans="1:15">
      <c r="A549" s="9">
        <v>1155978</v>
      </c>
      <c r="B549" s="10">
        <v>1</v>
      </c>
      <c r="C549" s="28">
        <v>4.1399999999999996E-3</v>
      </c>
      <c r="D549" s="12">
        <f>tb_Auditoria[[#This Row],[% TAXA RELATÓRIO]]*tb_Auditoria[[#This Row],[VALOR CRÉDITO]]</f>
        <v>1655.9999999999998</v>
      </c>
      <c r="E549" s="13">
        <v>46008</v>
      </c>
      <c r="F549" s="13" t="s">
        <v>17</v>
      </c>
      <c r="G54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4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4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49" s="19">
        <f>IFERROR(INDEX([1]!tb_Vendas[Crédito],MATCH(tb_Auditoria[[#This Row],[Nº CONTRATO]],[1]!tb_Vendas[Nº Contrato],0)),0)</f>
        <v>400000</v>
      </c>
      <c r="K549" s="21">
        <f>IFERROR(tb_Auditoria[[#This Row],[VALOR ESPERADO]] / tb_Auditoria[[#This Row],[VALOR CRÉDITO]], 0)</f>
        <v>0</v>
      </c>
      <c r="L549" s="19" t="e">
        <f>SUMIFS([1]!Motor_Comissão[Valor Previsto],[1]!Motor_Comissão[Chave], tb_Auditoria[[#This Row],[Nº CONTRATO]]&amp;"-"&amp;tb_Auditoria[[#This Row],[PARCELA ATUAL]])</f>
        <v>#REF!</v>
      </c>
      <c r="M549" s="19" t="e">
        <f>tb_Auditoria[[#This Row],[VALOR PAGO]] - tb_Auditoria[[#This Row],[VALOR ESPERADO]]</f>
        <v>#REF!</v>
      </c>
      <c r="N5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0" spans="1:15">
      <c r="A550" s="9">
        <v>1155978</v>
      </c>
      <c r="B550" s="10">
        <v>2</v>
      </c>
      <c r="C550" s="28">
        <v>3.5999999999999999E-3</v>
      </c>
      <c r="D550" s="12">
        <f>tb_Auditoria[[#This Row],[% TAXA RELATÓRIO]]*tb_Auditoria[[#This Row],[VALOR CRÉDITO]]</f>
        <v>1440</v>
      </c>
      <c r="E550" s="13">
        <v>46038</v>
      </c>
      <c r="F550" s="13" t="s">
        <v>17</v>
      </c>
      <c r="G55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5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0" s="19">
        <f>IFERROR(INDEX([1]!tb_Vendas[Crédito],MATCH(tb_Auditoria[[#This Row],[Nº CONTRATO]],[1]!tb_Vendas[Nº Contrato],0)),0)</f>
        <v>400000</v>
      </c>
      <c r="K550" s="21">
        <f>IFERROR(tb_Auditoria[[#This Row],[VALOR ESPERADO]] / tb_Auditoria[[#This Row],[VALOR CRÉDITO]], 0)</f>
        <v>0</v>
      </c>
      <c r="L550" s="19" t="e">
        <f>SUMIFS([1]!Motor_Comissão[Valor Previsto],[1]!Motor_Comissão[Chave], tb_Auditoria[[#This Row],[Nº CONTRATO]]&amp;"-"&amp;tb_Auditoria[[#This Row],[PARCELA ATUAL]])</f>
        <v>#REF!</v>
      </c>
      <c r="M550" s="19" t="e">
        <f>tb_Auditoria[[#This Row],[VALOR PAGO]] - tb_Auditoria[[#This Row],[VALOR ESPERADO]]</f>
        <v>#REF!</v>
      </c>
      <c r="N5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1" spans="1:15">
      <c r="A551" s="9">
        <v>1155978</v>
      </c>
      <c r="B551" s="10">
        <v>3</v>
      </c>
      <c r="C551" s="28">
        <v>3.5999999999999999E-3</v>
      </c>
      <c r="D551" s="12">
        <f>tb_Auditoria[[#This Row],[% TAXA RELATÓRIO]]*tb_Auditoria[[#This Row],[VALOR CRÉDITO]]</f>
        <v>1440</v>
      </c>
      <c r="E551" s="13">
        <v>46072</v>
      </c>
      <c r="F551" s="13" t="s">
        <v>17</v>
      </c>
      <c r="G55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5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1" s="19">
        <f>IFERROR(INDEX([1]!tb_Vendas[Crédito],MATCH(tb_Auditoria[[#This Row],[Nº CONTRATO]],[1]!tb_Vendas[Nº Contrato],0)),0)</f>
        <v>400000</v>
      </c>
      <c r="K551" s="21">
        <f>IFERROR(tb_Auditoria[[#This Row],[VALOR ESPERADO]] / tb_Auditoria[[#This Row],[VALOR CRÉDITO]], 0)</f>
        <v>0</v>
      </c>
      <c r="L551" s="19" t="e">
        <f>SUMIFS([1]!Motor_Comissão[Valor Previsto],[1]!Motor_Comissão[Chave], tb_Auditoria[[#This Row],[Nº CONTRATO]]&amp;"-"&amp;tb_Auditoria[[#This Row],[PARCELA ATUAL]])</f>
        <v>#REF!</v>
      </c>
      <c r="M551" s="19" t="e">
        <f>tb_Auditoria[[#This Row],[VALOR PAGO]] - tb_Auditoria[[#This Row],[VALOR ESPERADO]]</f>
        <v>#REF!</v>
      </c>
      <c r="N5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2" spans="1:15">
      <c r="A552" s="9">
        <v>1155978</v>
      </c>
      <c r="B552" s="10">
        <v>5</v>
      </c>
      <c r="C552" s="28">
        <v>3.5999999999999999E-3</v>
      </c>
      <c r="D552" s="12">
        <f>tb_Auditoria[[#This Row],[% TAXA RELATÓRIO]]*tb_Auditoria[[#This Row],[VALOR CRÉDITO]]</f>
        <v>1440</v>
      </c>
      <c r="E552" s="13">
        <v>46129</v>
      </c>
      <c r="F552" s="13" t="s">
        <v>17</v>
      </c>
      <c r="G55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5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2" s="19">
        <f>IFERROR(INDEX([1]!tb_Vendas[Crédito],MATCH(tb_Auditoria[[#This Row],[Nº CONTRATO]],[1]!tb_Vendas[Nº Contrato],0)),0)</f>
        <v>400000</v>
      </c>
      <c r="K552" s="21">
        <f>IFERROR(tb_Auditoria[[#This Row],[VALOR ESPERADO]] / tb_Auditoria[[#This Row],[VALOR CRÉDITO]], 0)</f>
        <v>0</v>
      </c>
      <c r="L552" s="19" t="e">
        <f>SUMIFS([1]!Motor_Comissão[Valor Previsto],[1]!Motor_Comissão[Chave], tb_Auditoria[[#This Row],[Nº CONTRATO]]&amp;"-"&amp;tb_Auditoria[[#This Row],[PARCELA ATUAL]])</f>
        <v>#REF!</v>
      </c>
      <c r="M552" s="19" t="e">
        <f>tb_Auditoria[[#This Row],[VALOR PAGO]] - tb_Auditoria[[#This Row],[VALOR ESPERADO]]</f>
        <v>#REF!</v>
      </c>
      <c r="N5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3" spans="1:15">
      <c r="A553" s="9">
        <v>1155980</v>
      </c>
      <c r="B553" s="10">
        <v>4</v>
      </c>
      <c r="C553" s="28">
        <v>3.5999999999999999E-3</v>
      </c>
      <c r="D553" s="12">
        <f>tb_Auditoria[[#This Row],[% TAXA RELATÓRIO]]*tb_Auditoria[[#This Row],[VALOR CRÉDITO]]</f>
        <v>1440</v>
      </c>
      <c r="E553" s="13">
        <v>46100</v>
      </c>
      <c r="F553" s="13" t="s">
        <v>17</v>
      </c>
      <c r="G55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5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3" s="19">
        <f>IFERROR(INDEX([1]!tb_Vendas[Crédito],MATCH(tb_Auditoria[[#This Row],[Nº CONTRATO]],[1]!tb_Vendas[Nº Contrato],0)),0)</f>
        <v>400000</v>
      </c>
      <c r="K553" s="21">
        <f>IFERROR(tb_Auditoria[[#This Row],[VALOR ESPERADO]] / tb_Auditoria[[#This Row],[VALOR CRÉDITO]], 0)</f>
        <v>0</v>
      </c>
      <c r="L553" s="19" t="e">
        <f>SUMIFS([1]!Motor_Comissão[Valor Previsto],[1]!Motor_Comissão[Chave], tb_Auditoria[[#This Row],[Nº CONTRATO]]&amp;"-"&amp;tb_Auditoria[[#This Row],[PARCELA ATUAL]])</f>
        <v>#REF!</v>
      </c>
      <c r="M553" s="19" t="e">
        <f>tb_Auditoria[[#This Row],[VALOR PAGO]] - tb_Auditoria[[#This Row],[VALOR ESPERADO]]</f>
        <v>#REF!</v>
      </c>
      <c r="N5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4" spans="1:15">
      <c r="A554" s="9">
        <v>1155980</v>
      </c>
      <c r="B554" s="10">
        <v>6</v>
      </c>
      <c r="C554" s="28">
        <v>3.5999999999999999E-3</v>
      </c>
      <c r="D554" s="12">
        <f>tb_Auditoria[[#This Row],[% TAXA RELATÓRIO]]*tb_Auditoria[[#This Row],[VALOR CRÉDITO]]</f>
        <v>1440</v>
      </c>
      <c r="E554" s="13">
        <v>46161</v>
      </c>
      <c r="F554" s="13" t="s">
        <v>17</v>
      </c>
      <c r="G55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5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4" s="19">
        <f>IFERROR(INDEX([1]!tb_Vendas[Crédito],MATCH(tb_Auditoria[[#This Row],[Nº CONTRATO]],[1]!tb_Vendas[Nº Contrato],0)),0)</f>
        <v>400000</v>
      </c>
      <c r="K554" s="21">
        <f>IFERROR(tb_Auditoria[[#This Row],[VALOR ESPERADO]] / tb_Auditoria[[#This Row],[VALOR CRÉDITO]], 0)</f>
        <v>0</v>
      </c>
      <c r="L554" s="19" t="e">
        <f>SUMIFS([1]!Motor_Comissão[Valor Previsto],[1]!Motor_Comissão[Chave], tb_Auditoria[[#This Row],[Nº CONTRATO]]&amp;"-"&amp;tb_Auditoria[[#This Row],[PARCELA ATUAL]])</f>
        <v>#REF!</v>
      </c>
      <c r="M554" s="19" t="e">
        <f>tb_Auditoria[[#This Row],[VALOR PAGO]] - tb_Auditoria[[#This Row],[VALOR ESPERADO]]</f>
        <v>#REF!</v>
      </c>
      <c r="N5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5" spans="1:15">
      <c r="A555" s="9">
        <v>1155980</v>
      </c>
      <c r="B555" s="10">
        <v>1</v>
      </c>
      <c r="C555" s="28">
        <v>4.1399999999999996E-3</v>
      </c>
      <c r="D555" s="12">
        <f>tb_Auditoria[[#This Row],[% TAXA RELATÓRIO]]*tb_Auditoria[[#This Row],[VALOR CRÉDITO]]</f>
        <v>1655.9999999999998</v>
      </c>
      <c r="E555" s="13">
        <v>46008</v>
      </c>
      <c r="F555" s="13" t="s">
        <v>17</v>
      </c>
      <c r="G55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5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5" s="19">
        <f>IFERROR(INDEX([1]!tb_Vendas[Crédito],MATCH(tb_Auditoria[[#This Row],[Nº CONTRATO]],[1]!tb_Vendas[Nº Contrato],0)),0)</f>
        <v>400000</v>
      </c>
      <c r="K555" s="21">
        <f>IFERROR(tb_Auditoria[[#This Row],[VALOR ESPERADO]] / tb_Auditoria[[#This Row],[VALOR CRÉDITO]], 0)</f>
        <v>0</v>
      </c>
      <c r="L555" s="19" t="e">
        <f>SUMIFS([1]!Motor_Comissão[Valor Previsto],[1]!Motor_Comissão[Chave], tb_Auditoria[[#This Row],[Nº CONTRATO]]&amp;"-"&amp;tb_Auditoria[[#This Row],[PARCELA ATUAL]])</f>
        <v>#REF!</v>
      </c>
      <c r="M555" s="19" t="e">
        <f>tb_Auditoria[[#This Row],[VALOR PAGO]] - tb_Auditoria[[#This Row],[VALOR ESPERADO]]</f>
        <v>#REF!</v>
      </c>
      <c r="N5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6" spans="1:15">
      <c r="A556" s="9">
        <v>1155980</v>
      </c>
      <c r="B556" s="10">
        <v>2</v>
      </c>
      <c r="C556" s="28">
        <v>3.5999999999999999E-3</v>
      </c>
      <c r="D556" s="12">
        <f>tb_Auditoria[[#This Row],[% TAXA RELATÓRIO]]*tb_Auditoria[[#This Row],[VALOR CRÉDITO]]</f>
        <v>1440</v>
      </c>
      <c r="E556" s="13">
        <v>46038</v>
      </c>
      <c r="F556" s="13" t="s">
        <v>17</v>
      </c>
      <c r="G55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5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6" s="19">
        <f>IFERROR(INDEX([1]!tb_Vendas[Crédito],MATCH(tb_Auditoria[[#This Row],[Nº CONTRATO]],[1]!tb_Vendas[Nº Contrato],0)),0)</f>
        <v>400000</v>
      </c>
      <c r="K556" s="21">
        <f>IFERROR(tb_Auditoria[[#This Row],[VALOR ESPERADO]] / tb_Auditoria[[#This Row],[VALOR CRÉDITO]], 0)</f>
        <v>0</v>
      </c>
      <c r="L556" s="19" t="e">
        <f>SUMIFS([1]!Motor_Comissão[Valor Previsto],[1]!Motor_Comissão[Chave], tb_Auditoria[[#This Row],[Nº CONTRATO]]&amp;"-"&amp;tb_Auditoria[[#This Row],[PARCELA ATUAL]])</f>
        <v>#REF!</v>
      </c>
      <c r="M556" s="19" t="e">
        <f>tb_Auditoria[[#This Row],[VALOR PAGO]] - tb_Auditoria[[#This Row],[VALOR ESPERADO]]</f>
        <v>#REF!</v>
      </c>
      <c r="N5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7" spans="1:15">
      <c r="A557" s="9">
        <v>1155980</v>
      </c>
      <c r="B557" s="10">
        <v>3</v>
      </c>
      <c r="C557" s="28">
        <v>3.5999999999999999E-3</v>
      </c>
      <c r="D557" s="12">
        <f>tb_Auditoria[[#This Row],[% TAXA RELATÓRIO]]*tb_Auditoria[[#This Row],[VALOR CRÉDITO]]</f>
        <v>1440</v>
      </c>
      <c r="E557" s="13">
        <v>46072</v>
      </c>
      <c r="F557" s="13" t="s">
        <v>17</v>
      </c>
      <c r="G55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5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7" s="19">
        <f>IFERROR(INDEX([1]!tb_Vendas[Crédito],MATCH(tb_Auditoria[[#This Row],[Nº CONTRATO]],[1]!tb_Vendas[Nº Contrato],0)),0)</f>
        <v>400000</v>
      </c>
      <c r="K557" s="21">
        <f>IFERROR(tb_Auditoria[[#This Row],[VALOR ESPERADO]] / tb_Auditoria[[#This Row],[VALOR CRÉDITO]], 0)</f>
        <v>0</v>
      </c>
      <c r="L557" s="19" t="e">
        <f>SUMIFS([1]!Motor_Comissão[Valor Previsto],[1]!Motor_Comissão[Chave], tb_Auditoria[[#This Row],[Nº CONTRATO]]&amp;"-"&amp;tb_Auditoria[[#This Row],[PARCELA ATUAL]])</f>
        <v>#REF!</v>
      </c>
      <c r="M557" s="19" t="e">
        <f>tb_Auditoria[[#This Row],[VALOR PAGO]] - tb_Auditoria[[#This Row],[VALOR ESPERADO]]</f>
        <v>#REF!</v>
      </c>
      <c r="N5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8" spans="1:15">
      <c r="A558" s="9">
        <v>1155980</v>
      </c>
      <c r="B558" s="10">
        <v>5</v>
      </c>
      <c r="C558" s="28">
        <v>3.5999999999999999E-3</v>
      </c>
      <c r="D558" s="12">
        <f>tb_Auditoria[[#This Row],[% TAXA RELATÓRIO]]*tb_Auditoria[[#This Row],[VALOR CRÉDITO]]</f>
        <v>1440</v>
      </c>
      <c r="E558" s="13">
        <v>46129</v>
      </c>
      <c r="F558" s="13" t="s">
        <v>17</v>
      </c>
      <c r="G55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5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8" s="19">
        <f>IFERROR(INDEX([1]!tb_Vendas[Crédito],MATCH(tb_Auditoria[[#This Row],[Nº CONTRATO]],[1]!tb_Vendas[Nº Contrato],0)),0)</f>
        <v>400000</v>
      </c>
      <c r="K558" s="21">
        <f>IFERROR(tb_Auditoria[[#This Row],[VALOR ESPERADO]] / tb_Auditoria[[#This Row],[VALOR CRÉDITO]], 0)</f>
        <v>0</v>
      </c>
      <c r="L558" s="19" t="e">
        <f>SUMIFS([1]!Motor_Comissão[Valor Previsto],[1]!Motor_Comissão[Chave], tb_Auditoria[[#This Row],[Nº CONTRATO]]&amp;"-"&amp;tb_Auditoria[[#This Row],[PARCELA ATUAL]])</f>
        <v>#REF!</v>
      </c>
      <c r="M558" s="19" t="e">
        <f>tb_Auditoria[[#This Row],[VALOR PAGO]] - tb_Auditoria[[#This Row],[VALOR ESPERADO]]</f>
        <v>#REF!</v>
      </c>
      <c r="N5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59" spans="1:15">
      <c r="A559" s="9">
        <v>1155984</v>
      </c>
      <c r="B559" s="10">
        <v>4</v>
      </c>
      <c r="C559" s="28">
        <v>3.5999999999999999E-3</v>
      </c>
      <c r="D559" s="12">
        <f>tb_Auditoria[[#This Row],[% TAXA RELATÓRIO]]*tb_Auditoria[[#This Row],[VALOR CRÉDITO]]</f>
        <v>1440</v>
      </c>
      <c r="E559" s="13">
        <v>46100</v>
      </c>
      <c r="F559" s="13" t="s">
        <v>17</v>
      </c>
      <c r="G55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5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5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59" s="19">
        <f>IFERROR(INDEX([1]!tb_Vendas[Crédito],MATCH(tb_Auditoria[[#This Row],[Nº CONTRATO]],[1]!tb_Vendas[Nº Contrato],0)),0)</f>
        <v>400000</v>
      </c>
      <c r="K559" s="21">
        <f>IFERROR(tb_Auditoria[[#This Row],[VALOR ESPERADO]] / tb_Auditoria[[#This Row],[VALOR CRÉDITO]], 0)</f>
        <v>0</v>
      </c>
      <c r="L559" s="19" t="e">
        <f>SUMIFS([1]!Motor_Comissão[Valor Previsto],[1]!Motor_Comissão[Chave], tb_Auditoria[[#This Row],[Nº CONTRATO]]&amp;"-"&amp;tb_Auditoria[[#This Row],[PARCELA ATUAL]])</f>
        <v>#REF!</v>
      </c>
      <c r="M559" s="19" t="e">
        <f>tb_Auditoria[[#This Row],[VALOR PAGO]] - tb_Auditoria[[#This Row],[VALOR ESPERADO]]</f>
        <v>#REF!</v>
      </c>
      <c r="N5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0" spans="1:15">
      <c r="A560" s="9">
        <v>1155984</v>
      </c>
      <c r="B560" s="10">
        <v>6</v>
      </c>
      <c r="C560" s="28">
        <v>3.5999999999999999E-3</v>
      </c>
      <c r="D560" s="12">
        <f>tb_Auditoria[[#This Row],[% TAXA RELATÓRIO]]*tb_Auditoria[[#This Row],[VALOR CRÉDITO]]</f>
        <v>1440</v>
      </c>
      <c r="E560" s="13">
        <v>46161</v>
      </c>
      <c r="F560" s="13" t="s">
        <v>17</v>
      </c>
      <c r="G56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6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0" s="19">
        <f>IFERROR(INDEX([1]!tb_Vendas[Crédito],MATCH(tb_Auditoria[[#This Row],[Nº CONTRATO]],[1]!tb_Vendas[Nº Contrato],0)),0)</f>
        <v>400000</v>
      </c>
      <c r="K560" s="21">
        <f>IFERROR(tb_Auditoria[[#This Row],[VALOR ESPERADO]] / tb_Auditoria[[#This Row],[VALOR CRÉDITO]], 0)</f>
        <v>0</v>
      </c>
      <c r="L560" s="19" t="e">
        <f>SUMIFS([1]!Motor_Comissão[Valor Previsto],[1]!Motor_Comissão[Chave], tb_Auditoria[[#This Row],[Nº CONTRATO]]&amp;"-"&amp;tb_Auditoria[[#This Row],[PARCELA ATUAL]])</f>
        <v>#REF!</v>
      </c>
      <c r="M560" s="19" t="e">
        <f>tb_Auditoria[[#This Row],[VALOR PAGO]] - tb_Auditoria[[#This Row],[VALOR ESPERADO]]</f>
        <v>#REF!</v>
      </c>
      <c r="N5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1" spans="1:15">
      <c r="A561" s="9">
        <v>1155984</v>
      </c>
      <c r="B561" s="10">
        <v>1</v>
      </c>
      <c r="C561" s="28">
        <v>4.1399999999999996E-3</v>
      </c>
      <c r="D561" s="12">
        <f>tb_Auditoria[[#This Row],[% TAXA RELATÓRIO]]*tb_Auditoria[[#This Row],[VALOR CRÉDITO]]</f>
        <v>1655.9999999999998</v>
      </c>
      <c r="E561" s="13">
        <v>46008</v>
      </c>
      <c r="F561" s="13" t="s">
        <v>17</v>
      </c>
      <c r="G56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6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1" s="19">
        <f>IFERROR(INDEX([1]!tb_Vendas[Crédito],MATCH(tb_Auditoria[[#This Row],[Nº CONTRATO]],[1]!tb_Vendas[Nº Contrato],0)),0)</f>
        <v>400000</v>
      </c>
      <c r="K561" s="21">
        <f>IFERROR(tb_Auditoria[[#This Row],[VALOR ESPERADO]] / tb_Auditoria[[#This Row],[VALOR CRÉDITO]], 0)</f>
        <v>0</v>
      </c>
      <c r="L561" s="19" t="e">
        <f>SUMIFS([1]!Motor_Comissão[Valor Previsto],[1]!Motor_Comissão[Chave], tb_Auditoria[[#This Row],[Nº CONTRATO]]&amp;"-"&amp;tb_Auditoria[[#This Row],[PARCELA ATUAL]])</f>
        <v>#REF!</v>
      </c>
      <c r="M561" s="19" t="e">
        <f>tb_Auditoria[[#This Row],[VALOR PAGO]] - tb_Auditoria[[#This Row],[VALOR ESPERADO]]</f>
        <v>#REF!</v>
      </c>
      <c r="N5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2" spans="1:15">
      <c r="A562" s="9">
        <v>1155984</v>
      </c>
      <c r="B562" s="10">
        <v>2</v>
      </c>
      <c r="C562" s="28">
        <v>3.5999999999999999E-3</v>
      </c>
      <c r="D562" s="12">
        <f>tb_Auditoria[[#This Row],[% TAXA RELATÓRIO]]*tb_Auditoria[[#This Row],[VALOR CRÉDITO]]</f>
        <v>1440</v>
      </c>
      <c r="E562" s="13">
        <v>46038</v>
      </c>
      <c r="F562" s="13" t="s">
        <v>17</v>
      </c>
      <c r="G56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6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2" s="19">
        <f>IFERROR(INDEX([1]!tb_Vendas[Crédito],MATCH(tb_Auditoria[[#This Row],[Nº CONTRATO]],[1]!tb_Vendas[Nº Contrato],0)),0)</f>
        <v>400000</v>
      </c>
      <c r="K562" s="21">
        <f>IFERROR(tb_Auditoria[[#This Row],[VALOR ESPERADO]] / tb_Auditoria[[#This Row],[VALOR CRÉDITO]], 0)</f>
        <v>0</v>
      </c>
      <c r="L562" s="19" t="e">
        <f>SUMIFS([1]!Motor_Comissão[Valor Previsto],[1]!Motor_Comissão[Chave], tb_Auditoria[[#This Row],[Nº CONTRATO]]&amp;"-"&amp;tb_Auditoria[[#This Row],[PARCELA ATUAL]])</f>
        <v>#REF!</v>
      </c>
      <c r="M562" s="19" t="e">
        <f>tb_Auditoria[[#This Row],[VALOR PAGO]] - tb_Auditoria[[#This Row],[VALOR ESPERADO]]</f>
        <v>#REF!</v>
      </c>
      <c r="N5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3" spans="1:15">
      <c r="A563" s="9">
        <v>1155984</v>
      </c>
      <c r="B563" s="10">
        <v>3</v>
      </c>
      <c r="C563" s="28">
        <v>3.5999999999999999E-3</v>
      </c>
      <c r="D563" s="12">
        <f>tb_Auditoria[[#This Row],[% TAXA RELATÓRIO]]*tb_Auditoria[[#This Row],[VALOR CRÉDITO]]</f>
        <v>1440</v>
      </c>
      <c r="E563" s="13">
        <v>46072</v>
      </c>
      <c r="F563" s="13" t="s">
        <v>17</v>
      </c>
      <c r="G56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6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3" s="19">
        <f>IFERROR(INDEX([1]!tb_Vendas[Crédito],MATCH(tb_Auditoria[[#This Row],[Nº CONTRATO]],[1]!tb_Vendas[Nº Contrato],0)),0)</f>
        <v>400000</v>
      </c>
      <c r="K563" s="21">
        <f>IFERROR(tb_Auditoria[[#This Row],[VALOR ESPERADO]] / tb_Auditoria[[#This Row],[VALOR CRÉDITO]], 0)</f>
        <v>0</v>
      </c>
      <c r="L563" s="19" t="e">
        <f>SUMIFS([1]!Motor_Comissão[Valor Previsto],[1]!Motor_Comissão[Chave], tb_Auditoria[[#This Row],[Nº CONTRATO]]&amp;"-"&amp;tb_Auditoria[[#This Row],[PARCELA ATUAL]])</f>
        <v>#REF!</v>
      </c>
      <c r="M563" s="19" t="e">
        <f>tb_Auditoria[[#This Row],[VALOR PAGO]] - tb_Auditoria[[#This Row],[VALOR ESPERADO]]</f>
        <v>#REF!</v>
      </c>
      <c r="N5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4" spans="1:15">
      <c r="A564" s="9">
        <v>1155984</v>
      </c>
      <c r="B564" s="10">
        <v>5</v>
      </c>
      <c r="C564" s="28">
        <v>3.5999999999999999E-3</v>
      </c>
      <c r="D564" s="12">
        <f>tb_Auditoria[[#This Row],[% TAXA RELATÓRIO]]*tb_Auditoria[[#This Row],[VALOR CRÉDITO]]</f>
        <v>1440</v>
      </c>
      <c r="E564" s="13">
        <v>46129</v>
      </c>
      <c r="F564" s="13" t="s">
        <v>17</v>
      </c>
      <c r="G56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6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4" s="19">
        <f>IFERROR(INDEX([1]!tb_Vendas[Crédito],MATCH(tb_Auditoria[[#This Row],[Nº CONTRATO]],[1]!tb_Vendas[Nº Contrato],0)),0)</f>
        <v>400000</v>
      </c>
      <c r="K564" s="21">
        <f>IFERROR(tb_Auditoria[[#This Row],[VALOR ESPERADO]] / tb_Auditoria[[#This Row],[VALOR CRÉDITO]], 0)</f>
        <v>0</v>
      </c>
      <c r="L564" s="19" t="e">
        <f>SUMIFS([1]!Motor_Comissão[Valor Previsto],[1]!Motor_Comissão[Chave], tb_Auditoria[[#This Row],[Nº CONTRATO]]&amp;"-"&amp;tb_Auditoria[[#This Row],[PARCELA ATUAL]])</f>
        <v>#REF!</v>
      </c>
      <c r="M564" s="19" t="e">
        <f>tb_Auditoria[[#This Row],[VALOR PAGO]] - tb_Auditoria[[#This Row],[VALOR ESPERADO]]</f>
        <v>#REF!</v>
      </c>
      <c r="N5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5" spans="1:15">
      <c r="A565" s="9">
        <v>1155985</v>
      </c>
      <c r="B565" s="10">
        <v>4</v>
      </c>
      <c r="C565" s="28">
        <v>3.5999999999999999E-3</v>
      </c>
      <c r="D565" s="12">
        <f>tb_Auditoria[[#This Row],[% TAXA RELATÓRIO]]*tb_Auditoria[[#This Row],[VALOR CRÉDITO]]</f>
        <v>1440</v>
      </c>
      <c r="E565" s="13">
        <v>46100</v>
      </c>
      <c r="F565" s="13" t="s">
        <v>17</v>
      </c>
      <c r="G56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6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5" s="19">
        <f>IFERROR(INDEX([1]!tb_Vendas[Crédito],MATCH(tb_Auditoria[[#This Row],[Nº CONTRATO]],[1]!tb_Vendas[Nº Contrato],0)),0)</f>
        <v>400000</v>
      </c>
      <c r="K565" s="21">
        <f>IFERROR(tb_Auditoria[[#This Row],[VALOR ESPERADO]] / tb_Auditoria[[#This Row],[VALOR CRÉDITO]], 0)</f>
        <v>0</v>
      </c>
      <c r="L565" s="19" t="e">
        <f>SUMIFS([1]!Motor_Comissão[Valor Previsto],[1]!Motor_Comissão[Chave], tb_Auditoria[[#This Row],[Nº CONTRATO]]&amp;"-"&amp;tb_Auditoria[[#This Row],[PARCELA ATUAL]])</f>
        <v>#REF!</v>
      </c>
      <c r="M565" s="19" t="e">
        <f>tb_Auditoria[[#This Row],[VALOR PAGO]] - tb_Auditoria[[#This Row],[VALOR ESPERADO]]</f>
        <v>#REF!</v>
      </c>
      <c r="N5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6" spans="1:15">
      <c r="A566" s="9">
        <v>1155985</v>
      </c>
      <c r="B566" s="10">
        <v>6</v>
      </c>
      <c r="C566" s="28">
        <v>3.5999999999999999E-3</v>
      </c>
      <c r="D566" s="12">
        <f>tb_Auditoria[[#This Row],[% TAXA RELATÓRIO]]*tb_Auditoria[[#This Row],[VALOR CRÉDITO]]</f>
        <v>1440</v>
      </c>
      <c r="E566" s="13">
        <v>46161</v>
      </c>
      <c r="F566" s="13" t="s">
        <v>17</v>
      </c>
      <c r="G56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6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6" s="19">
        <f>IFERROR(INDEX([1]!tb_Vendas[Crédito],MATCH(tb_Auditoria[[#This Row],[Nº CONTRATO]],[1]!tb_Vendas[Nº Contrato],0)),0)</f>
        <v>400000</v>
      </c>
      <c r="K566" s="21">
        <f>IFERROR(tb_Auditoria[[#This Row],[VALOR ESPERADO]] / tb_Auditoria[[#This Row],[VALOR CRÉDITO]], 0)</f>
        <v>0</v>
      </c>
      <c r="L566" s="19" t="e">
        <f>SUMIFS([1]!Motor_Comissão[Valor Previsto],[1]!Motor_Comissão[Chave], tb_Auditoria[[#This Row],[Nº CONTRATO]]&amp;"-"&amp;tb_Auditoria[[#This Row],[PARCELA ATUAL]])</f>
        <v>#REF!</v>
      </c>
      <c r="M566" s="19" t="e">
        <f>tb_Auditoria[[#This Row],[VALOR PAGO]] - tb_Auditoria[[#This Row],[VALOR ESPERADO]]</f>
        <v>#REF!</v>
      </c>
      <c r="N5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7" spans="1:15">
      <c r="A567" s="9">
        <v>1155985</v>
      </c>
      <c r="B567" s="10">
        <v>1</v>
      </c>
      <c r="C567" s="28">
        <v>4.1399999999999996E-3</v>
      </c>
      <c r="D567" s="12">
        <f>tb_Auditoria[[#This Row],[% TAXA RELATÓRIO]]*tb_Auditoria[[#This Row],[VALOR CRÉDITO]]</f>
        <v>1655.9999999999998</v>
      </c>
      <c r="E567" s="13">
        <v>46008</v>
      </c>
      <c r="F567" s="13" t="s">
        <v>17</v>
      </c>
      <c r="G56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6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7" s="19">
        <f>IFERROR(INDEX([1]!tb_Vendas[Crédito],MATCH(tb_Auditoria[[#This Row],[Nº CONTRATO]],[1]!tb_Vendas[Nº Contrato],0)),0)</f>
        <v>400000</v>
      </c>
      <c r="K567" s="21">
        <f>IFERROR(tb_Auditoria[[#This Row],[VALOR ESPERADO]] / tb_Auditoria[[#This Row],[VALOR CRÉDITO]], 0)</f>
        <v>0</v>
      </c>
      <c r="L567" s="19" t="e">
        <f>SUMIFS([1]!Motor_Comissão[Valor Previsto],[1]!Motor_Comissão[Chave], tb_Auditoria[[#This Row],[Nº CONTRATO]]&amp;"-"&amp;tb_Auditoria[[#This Row],[PARCELA ATUAL]])</f>
        <v>#REF!</v>
      </c>
      <c r="M567" s="19" t="e">
        <f>tb_Auditoria[[#This Row],[VALOR PAGO]] - tb_Auditoria[[#This Row],[VALOR ESPERADO]]</f>
        <v>#REF!</v>
      </c>
      <c r="N5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8" spans="1:15">
      <c r="A568" s="9">
        <v>1155985</v>
      </c>
      <c r="B568" s="10">
        <v>2</v>
      </c>
      <c r="C568" s="28">
        <v>3.5999999999999999E-3</v>
      </c>
      <c r="D568" s="12">
        <f>tb_Auditoria[[#This Row],[% TAXA RELATÓRIO]]*tb_Auditoria[[#This Row],[VALOR CRÉDITO]]</f>
        <v>1440</v>
      </c>
      <c r="E568" s="13">
        <v>46038</v>
      </c>
      <c r="F568" s="13" t="s">
        <v>17</v>
      </c>
      <c r="G56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6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8" s="19">
        <f>IFERROR(INDEX([1]!tb_Vendas[Crédito],MATCH(tb_Auditoria[[#This Row],[Nº CONTRATO]],[1]!tb_Vendas[Nº Contrato],0)),0)</f>
        <v>400000</v>
      </c>
      <c r="K568" s="21">
        <f>IFERROR(tb_Auditoria[[#This Row],[VALOR ESPERADO]] / tb_Auditoria[[#This Row],[VALOR CRÉDITO]], 0)</f>
        <v>0</v>
      </c>
      <c r="L568" s="19" t="e">
        <f>SUMIFS([1]!Motor_Comissão[Valor Previsto],[1]!Motor_Comissão[Chave], tb_Auditoria[[#This Row],[Nº CONTRATO]]&amp;"-"&amp;tb_Auditoria[[#This Row],[PARCELA ATUAL]])</f>
        <v>#REF!</v>
      </c>
      <c r="M568" s="19" t="e">
        <f>tb_Auditoria[[#This Row],[VALOR PAGO]] - tb_Auditoria[[#This Row],[VALOR ESPERADO]]</f>
        <v>#REF!</v>
      </c>
      <c r="N56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69" spans="1:15">
      <c r="A569" s="9">
        <v>1155985</v>
      </c>
      <c r="B569" s="10">
        <v>3</v>
      </c>
      <c r="C569" s="28">
        <v>3.5999999999999999E-3</v>
      </c>
      <c r="D569" s="12">
        <f>tb_Auditoria[[#This Row],[% TAXA RELATÓRIO]]*tb_Auditoria[[#This Row],[VALOR CRÉDITO]]</f>
        <v>1440</v>
      </c>
      <c r="E569" s="13">
        <v>46072</v>
      </c>
      <c r="F569" s="13" t="s">
        <v>17</v>
      </c>
      <c r="G56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6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6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69" s="19">
        <f>IFERROR(INDEX([1]!tb_Vendas[Crédito],MATCH(tb_Auditoria[[#This Row],[Nº CONTRATO]],[1]!tb_Vendas[Nº Contrato],0)),0)</f>
        <v>400000</v>
      </c>
      <c r="K569" s="21">
        <f>IFERROR(tb_Auditoria[[#This Row],[VALOR ESPERADO]] / tb_Auditoria[[#This Row],[VALOR CRÉDITO]], 0)</f>
        <v>0</v>
      </c>
      <c r="L569" s="19" t="e">
        <f>SUMIFS([1]!Motor_Comissão[Valor Previsto],[1]!Motor_Comissão[Chave], tb_Auditoria[[#This Row],[Nº CONTRATO]]&amp;"-"&amp;tb_Auditoria[[#This Row],[PARCELA ATUAL]])</f>
        <v>#REF!</v>
      </c>
      <c r="M569" s="19" t="e">
        <f>tb_Auditoria[[#This Row],[VALOR PAGO]] - tb_Auditoria[[#This Row],[VALOR ESPERADO]]</f>
        <v>#REF!</v>
      </c>
      <c r="N5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0" spans="1:15">
      <c r="A570" s="9">
        <v>1155985</v>
      </c>
      <c r="B570" s="10">
        <v>5</v>
      </c>
      <c r="C570" s="28">
        <v>3.5999999999999999E-3</v>
      </c>
      <c r="D570" s="12">
        <f>tb_Auditoria[[#This Row],[% TAXA RELATÓRIO]]*tb_Auditoria[[#This Row],[VALOR CRÉDITO]]</f>
        <v>1440</v>
      </c>
      <c r="E570" s="13">
        <v>46129</v>
      </c>
      <c r="F570" s="13" t="s">
        <v>17</v>
      </c>
      <c r="G57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7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0" s="19">
        <f>IFERROR(INDEX([1]!tb_Vendas[Crédito],MATCH(tb_Auditoria[[#This Row],[Nº CONTRATO]],[1]!tb_Vendas[Nº Contrato],0)),0)</f>
        <v>400000</v>
      </c>
      <c r="K570" s="21">
        <f>IFERROR(tb_Auditoria[[#This Row],[VALOR ESPERADO]] / tb_Auditoria[[#This Row],[VALOR CRÉDITO]], 0)</f>
        <v>0</v>
      </c>
      <c r="L570" s="19" t="e">
        <f>SUMIFS([1]!Motor_Comissão[Valor Previsto],[1]!Motor_Comissão[Chave], tb_Auditoria[[#This Row],[Nº CONTRATO]]&amp;"-"&amp;tb_Auditoria[[#This Row],[PARCELA ATUAL]])</f>
        <v>#REF!</v>
      </c>
      <c r="M570" s="19" t="e">
        <f>tb_Auditoria[[#This Row],[VALOR PAGO]] - tb_Auditoria[[#This Row],[VALOR ESPERADO]]</f>
        <v>#REF!</v>
      </c>
      <c r="N5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1" spans="1:15">
      <c r="A571" s="9">
        <v>1155997</v>
      </c>
      <c r="B571" s="10">
        <v>4</v>
      </c>
      <c r="C571" s="28">
        <v>3.5999999999999999E-3</v>
      </c>
      <c r="D571" s="12">
        <f>tb_Auditoria[[#This Row],[% TAXA RELATÓRIO]]*tb_Auditoria[[#This Row],[VALOR CRÉDITO]]</f>
        <v>1080</v>
      </c>
      <c r="E571" s="13">
        <v>46100</v>
      </c>
      <c r="F571" s="13" t="s">
        <v>17</v>
      </c>
      <c r="G57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7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1" s="19">
        <f>IFERROR(INDEX([1]!tb_Vendas[Crédito],MATCH(tb_Auditoria[[#This Row],[Nº CONTRATO]],[1]!tb_Vendas[Nº Contrato],0)),0)</f>
        <v>300000</v>
      </c>
      <c r="K571" s="21">
        <f>IFERROR(tb_Auditoria[[#This Row],[VALOR ESPERADO]] / tb_Auditoria[[#This Row],[VALOR CRÉDITO]], 0)</f>
        <v>0</v>
      </c>
      <c r="L571" s="19" t="e">
        <f>SUMIFS([1]!Motor_Comissão[Valor Previsto],[1]!Motor_Comissão[Chave], tb_Auditoria[[#This Row],[Nº CONTRATO]]&amp;"-"&amp;tb_Auditoria[[#This Row],[PARCELA ATUAL]])</f>
        <v>#REF!</v>
      </c>
      <c r="M571" s="19" t="e">
        <f>tb_Auditoria[[#This Row],[VALOR PAGO]] - tb_Auditoria[[#This Row],[VALOR ESPERADO]]</f>
        <v>#REF!</v>
      </c>
      <c r="N5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2" spans="1:15">
      <c r="A572" s="9">
        <v>1155997</v>
      </c>
      <c r="B572" s="10">
        <v>6</v>
      </c>
      <c r="C572" s="28">
        <v>3.5999999999999999E-3</v>
      </c>
      <c r="D572" s="12">
        <f>tb_Auditoria[[#This Row],[% TAXA RELATÓRIO]]*tb_Auditoria[[#This Row],[VALOR CRÉDITO]]</f>
        <v>1080</v>
      </c>
      <c r="E572" s="13">
        <v>46161</v>
      </c>
      <c r="F572" s="13" t="s">
        <v>17</v>
      </c>
      <c r="G57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7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2" s="19">
        <f>IFERROR(INDEX([1]!tb_Vendas[Crédito],MATCH(tb_Auditoria[[#This Row],[Nº CONTRATO]],[1]!tb_Vendas[Nº Contrato],0)),0)</f>
        <v>300000</v>
      </c>
      <c r="K572" s="21">
        <f>IFERROR(tb_Auditoria[[#This Row],[VALOR ESPERADO]] / tb_Auditoria[[#This Row],[VALOR CRÉDITO]], 0)</f>
        <v>0</v>
      </c>
      <c r="L572" s="19" t="e">
        <f>SUMIFS([1]!Motor_Comissão[Valor Previsto],[1]!Motor_Comissão[Chave], tb_Auditoria[[#This Row],[Nº CONTRATO]]&amp;"-"&amp;tb_Auditoria[[#This Row],[PARCELA ATUAL]])</f>
        <v>#REF!</v>
      </c>
      <c r="M572" s="19" t="e">
        <f>tb_Auditoria[[#This Row],[VALOR PAGO]] - tb_Auditoria[[#This Row],[VALOR ESPERADO]]</f>
        <v>#REF!</v>
      </c>
      <c r="N5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3" spans="1:15">
      <c r="A573" s="9">
        <v>1155997</v>
      </c>
      <c r="B573" s="10">
        <v>1</v>
      </c>
      <c r="C573" s="28">
        <v>4.1399999999999996E-3</v>
      </c>
      <c r="D573" s="12">
        <f>tb_Auditoria[[#This Row],[% TAXA RELATÓRIO]]*tb_Auditoria[[#This Row],[VALOR CRÉDITO]]</f>
        <v>1241.9999999999998</v>
      </c>
      <c r="E573" s="13">
        <v>46008</v>
      </c>
      <c r="F573" s="13" t="s">
        <v>17</v>
      </c>
      <c r="G57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7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3" s="19">
        <f>IFERROR(INDEX([1]!tb_Vendas[Crédito],MATCH(tb_Auditoria[[#This Row],[Nº CONTRATO]],[1]!tb_Vendas[Nº Contrato],0)),0)</f>
        <v>300000</v>
      </c>
      <c r="K573" s="21">
        <f>IFERROR(tb_Auditoria[[#This Row],[VALOR ESPERADO]] / tb_Auditoria[[#This Row],[VALOR CRÉDITO]], 0)</f>
        <v>0</v>
      </c>
      <c r="L573" s="19" t="e">
        <f>SUMIFS([1]!Motor_Comissão[Valor Previsto],[1]!Motor_Comissão[Chave], tb_Auditoria[[#This Row],[Nº CONTRATO]]&amp;"-"&amp;tb_Auditoria[[#This Row],[PARCELA ATUAL]])</f>
        <v>#REF!</v>
      </c>
      <c r="M573" s="19" t="e">
        <f>tb_Auditoria[[#This Row],[VALOR PAGO]] - tb_Auditoria[[#This Row],[VALOR ESPERADO]]</f>
        <v>#REF!</v>
      </c>
      <c r="N5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4" spans="1:15">
      <c r="A574" s="9">
        <v>1155997</v>
      </c>
      <c r="B574" s="10">
        <v>2</v>
      </c>
      <c r="C574" s="28">
        <v>3.5999999999999999E-3</v>
      </c>
      <c r="D574" s="12">
        <f>tb_Auditoria[[#This Row],[% TAXA RELATÓRIO]]*tb_Auditoria[[#This Row],[VALOR CRÉDITO]]</f>
        <v>1080</v>
      </c>
      <c r="E574" s="13">
        <v>46038</v>
      </c>
      <c r="F574" s="13" t="s">
        <v>17</v>
      </c>
      <c r="G57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7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4" s="19">
        <f>IFERROR(INDEX([1]!tb_Vendas[Crédito],MATCH(tb_Auditoria[[#This Row],[Nº CONTRATO]],[1]!tb_Vendas[Nº Contrato],0)),0)</f>
        <v>300000</v>
      </c>
      <c r="K574" s="21">
        <f>IFERROR(tb_Auditoria[[#This Row],[VALOR ESPERADO]] / tb_Auditoria[[#This Row],[VALOR CRÉDITO]], 0)</f>
        <v>0</v>
      </c>
      <c r="L574" s="19" t="e">
        <f>SUMIFS([1]!Motor_Comissão[Valor Previsto],[1]!Motor_Comissão[Chave], tb_Auditoria[[#This Row],[Nº CONTRATO]]&amp;"-"&amp;tb_Auditoria[[#This Row],[PARCELA ATUAL]])</f>
        <v>#REF!</v>
      </c>
      <c r="M574" s="19" t="e">
        <f>tb_Auditoria[[#This Row],[VALOR PAGO]] - tb_Auditoria[[#This Row],[VALOR ESPERADO]]</f>
        <v>#REF!</v>
      </c>
      <c r="N5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5" spans="1:15">
      <c r="A575" s="9">
        <v>1155997</v>
      </c>
      <c r="B575" s="10">
        <v>3</v>
      </c>
      <c r="C575" s="28">
        <v>3.5999999999999999E-3</v>
      </c>
      <c r="D575" s="12">
        <f>tb_Auditoria[[#This Row],[% TAXA RELATÓRIO]]*tb_Auditoria[[#This Row],[VALOR CRÉDITO]]</f>
        <v>1080</v>
      </c>
      <c r="E575" s="13">
        <v>46072</v>
      </c>
      <c r="F575" s="13" t="s">
        <v>17</v>
      </c>
      <c r="G57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7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5" s="19">
        <f>IFERROR(INDEX([1]!tb_Vendas[Crédito],MATCH(tb_Auditoria[[#This Row],[Nº CONTRATO]],[1]!tb_Vendas[Nº Contrato],0)),0)</f>
        <v>300000</v>
      </c>
      <c r="K575" s="21">
        <f>IFERROR(tb_Auditoria[[#This Row],[VALOR ESPERADO]] / tb_Auditoria[[#This Row],[VALOR CRÉDITO]], 0)</f>
        <v>0</v>
      </c>
      <c r="L575" s="19" t="e">
        <f>SUMIFS([1]!Motor_Comissão[Valor Previsto],[1]!Motor_Comissão[Chave], tb_Auditoria[[#This Row],[Nº CONTRATO]]&amp;"-"&amp;tb_Auditoria[[#This Row],[PARCELA ATUAL]])</f>
        <v>#REF!</v>
      </c>
      <c r="M575" s="19" t="e">
        <f>tb_Auditoria[[#This Row],[VALOR PAGO]] - tb_Auditoria[[#This Row],[VALOR ESPERADO]]</f>
        <v>#REF!</v>
      </c>
      <c r="N5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6" spans="1:15">
      <c r="A576" s="9">
        <v>1155997</v>
      </c>
      <c r="B576" s="10">
        <v>5</v>
      </c>
      <c r="C576" s="28">
        <v>3.5999999999999999E-3</v>
      </c>
      <c r="D576" s="12">
        <f>tb_Auditoria[[#This Row],[% TAXA RELATÓRIO]]*tb_Auditoria[[#This Row],[VALOR CRÉDITO]]</f>
        <v>1080</v>
      </c>
      <c r="E576" s="13">
        <v>46129</v>
      </c>
      <c r="F576" s="13" t="s">
        <v>17</v>
      </c>
      <c r="G57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7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6" s="19">
        <f>IFERROR(INDEX([1]!tb_Vendas[Crédito],MATCH(tb_Auditoria[[#This Row],[Nº CONTRATO]],[1]!tb_Vendas[Nº Contrato],0)),0)</f>
        <v>300000</v>
      </c>
      <c r="K576" s="21">
        <f>IFERROR(tb_Auditoria[[#This Row],[VALOR ESPERADO]] / tb_Auditoria[[#This Row],[VALOR CRÉDITO]], 0)</f>
        <v>0</v>
      </c>
      <c r="L576" s="19" t="e">
        <f>SUMIFS([1]!Motor_Comissão[Valor Previsto],[1]!Motor_Comissão[Chave], tb_Auditoria[[#This Row],[Nº CONTRATO]]&amp;"-"&amp;tb_Auditoria[[#This Row],[PARCELA ATUAL]])</f>
        <v>#REF!</v>
      </c>
      <c r="M576" s="19" t="e">
        <f>tb_Auditoria[[#This Row],[VALOR PAGO]] - tb_Auditoria[[#This Row],[VALOR ESPERADO]]</f>
        <v>#REF!</v>
      </c>
      <c r="N5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7" spans="1:15">
      <c r="A577" s="9">
        <v>1156004</v>
      </c>
      <c r="B577" s="10">
        <v>4</v>
      </c>
      <c r="C577" s="28">
        <v>3.5999999999999999E-3</v>
      </c>
      <c r="D577" s="12">
        <f>tb_Auditoria[[#This Row],[% TAXA RELATÓRIO]]*tb_Auditoria[[#This Row],[VALOR CRÉDITO]]</f>
        <v>1080</v>
      </c>
      <c r="E577" s="13">
        <v>46100</v>
      </c>
      <c r="F577" s="13" t="s">
        <v>17</v>
      </c>
      <c r="G57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7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7" s="19">
        <f>IFERROR(INDEX([1]!tb_Vendas[Crédito],MATCH(tb_Auditoria[[#This Row],[Nº CONTRATO]],[1]!tb_Vendas[Nº Contrato],0)),0)</f>
        <v>300000</v>
      </c>
      <c r="K577" s="21">
        <f>IFERROR(tb_Auditoria[[#This Row],[VALOR ESPERADO]] / tb_Auditoria[[#This Row],[VALOR CRÉDITO]], 0)</f>
        <v>0</v>
      </c>
      <c r="L577" s="19" t="e">
        <f>SUMIFS([1]!Motor_Comissão[Valor Previsto],[1]!Motor_Comissão[Chave], tb_Auditoria[[#This Row],[Nº CONTRATO]]&amp;"-"&amp;tb_Auditoria[[#This Row],[PARCELA ATUAL]])</f>
        <v>#REF!</v>
      </c>
      <c r="M577" s="19" t="e">
        <f>tb_Auditoria[[#This Row],[VALOR PAGO]] - tb_Auditoria[[#This Row],[VALOR ESPERADO]]</f>
        <v>#REF!</v>
      </c>
      <c r="N5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8" spans="1:15">
      <c r="A578" s="9">
        <v>1156004</v>
      </c>
      <c r="B578" s="10">
        <v>6</v>
      </c>
      <c r="C578" s="28">
        <v>3.5999999999999999E-3</v>
      </c>
      <c r="D578" s="12">
        <f>tb_Auditoria[[#This Row],[% TAXA RELATÓRIO]]*tb_Auditoria[[#This Row],[VALOR CRÉDITO]]</f>
        <v>1080</v>
      </c>
      <c r="E578" s="13">
        <v>46161</v>
      </c>
      <c r="F578" s="13" t="s">
        <v>17</v>
      </c>
      <c r="G57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7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8" s="19">
        <f>IFERROR(INDEX([1]!tb_Vendas[Crédito],MATCH(tb_Auditoria[[#This Row],[Nº CONTRATO]],[1]!tb_Vendas[Nº Contrato],0)),0)</f>
        <v>300000</v>
      </c>
      <c r="K578" s="21">
        <f>IFERROR(tb_Auditoria[[#This Row],[VALOR ESPERADO]] / tb_Auditoria[[#This Row],[VALOR CRÉDITO]], 0)</f>
        <v>0</v>
      </c>
      <c r="L578" s="19" t="e">
        <f>SUMIFS([1]!Motor_Comissão[Valor Previsto],[1]!Motor_Comissão[Chave], tb_Auditoria[[#This Row],[Nº CONTRATO]]&amp;"-"&amp;tb_Auditoria[[#This Row],[PARCELA ATUAL]])</f>
        <v>#REF!</v>
      </c>
      <c r="M578" s="19" t="e">
        <f>tb_Auditoria[[#This Row],[VALOR PAGO]] - tb_Auditoria[[#This Row],[VALOR ESPERADO]]</f>
        <v>#REF!</v>
      </c>
      <c r="N5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79" spans="1:15">
      <c r="A579" s="9">
        <v>1156004</v>
      </c>
      <c r="B579" s="10">
        <v>1</v>
      </c>
      <c r="C579" s="28">
        <v>4.1399999999999996E-3</v>
      </c>
      <c r="D579" s="12">
        <f>tb_Auditoria[[#This Row],[% TAXA RELATÓRIO]]*tb_Auditoria[[#This Row],[VALOR CRÉDITO]]</f>
        <v>1241.9999999999998</v>
      </c>
      <c r="E579" s="13">
        <v>46008</v>
      </c>
      <c r="F579" s="13" t="s">
        <v>17</v>
      </c>
      <c r="G57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7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7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79" s="19">
        <f>IFERROR(INDEX([1]!tb_Vendas[Crédito],MATCH(tb_Auditoria[[#This Row],[Nº CONTRATO]],[1]!tb_Vendas[Nº Contrato],0)),0)</f>
        <v>300000</v>
      </c>
      <c r="K579" s="21">
        <f>IFERROR(tb_Auditoria[[#This Row],[VALOR ESPERADO]] / tb_Auditoria[[#This Row],[VALOR CRÉDITO]], 0)</f>
        <v>0</v>
      </c>
      <c r="L579" s="19" t="e">
        <f>SUMIFS([1]!Motor_Comissão[Valor Previsto],[1]!Motor_Comissão[Chave], tb_Auditoria[[#This Row],[Nº CONTRATO]]&amp;"-"&amp;tb_Auditoria[[#This Row],[PARCELA ATUAL]])</f>
        <v>#REF!</v>
      </c>
      <c r="M579" s="19" t="e">
        <f>tb_Auditoria[[#This Row],[VALOR PAGO]] - tb_Auditoria[[#This Row],[VALOR ESPERADO]]</f>
        <v>#REF!</v>
      </c>
      <c r="N5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0" spans="1:15">
      <c r="A580" s="9">
        <v>1156004</v>
      </c>
      <c r="B580" s="10">
        <v>2</v>
      </c>
      <c r="C580" s="28">
        <v>3.5999999999999999E-3</v>
      </c>
      <c r="D580" s="12">
        <f>tb_Auditoria[[#This Row],[% TAXA RELATÓRIO]]*tb_Auditoria[[#This Row],[VALOR CRÉDITO]]</f>
        <v>1080</v>
      </c>
      <c r="E580" s="13">
        <v>46038</v>
      </c>
      <c r="F580" s="13" t="s">
        <v>17</v>
      </c>
      <c r="G58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8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0" s="19">
        <f>IFERROR(INDEX([1]!tb_Vendas[Crédito],MATCH(tb_Auditoria[[#This Row],[Nº CONTRATO]],[1]!tb_Vendas[Nº Contrato],0)),0)</f>
        <v>300000</v>
      </c>
      <c r="K580" s="21">
        <f>IFERROR(tb_Auditoria[[#This Row],[VALOR ESPERADO]] / tb_Auditoria[[#This Row],[VALOR CRÉDITO]], 0)</f>
        <v>0</v>
      </c>
      <c r="L580" s="19" t="e">
        <f>SUMIFS([1]!Motor_Comissão[Valor Previsto],[1]!Motor_Comissão[Chave], tb_Auditoria[[#This Row],[Nº CONTRATO]]&amp;"-"&amp;tb_Auditoria[[#This Row],[PARCELA ATUAL]])</f>
        <v>#REF!</v>
      </c>
      <c r="M580" s="19" t="e">
        <f>tb_Auditoria[[#This Row],[VALOR PAGO]] - tb_Auditoria[[#This Row],[VALOR ESPERADO]]</f>
        <v>#REF!</v>
      </c>
      <c r="N5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1" spans="1:15">
      <c r="A581" s="9">
        <v>1156004</v>
      </c>
      <c r="B581" s="10">
        <v>3</v>
      </c>
      <c r="C581" s="28">
        <v>3.5999999999999999E-3</v>
      </c>
      <c r="D581" s="12">
        <f>tb_Auditoria[[#This Row],[% TAXA RELATÓRIO]]*tb_Auditoria[[#This Row],[VALOR CRÉDITO]]</f>
        <v>1080</v>
      </c>
      <c r="E581" s="13">
        <v>46072</v>
      </c>
      <c r="F581" s="13" t="s">
        <v>17</v>
      </c>
      <c r="G58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8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1" s="19">
        <f>IFERROR(INDEX([1]!tb_Vendas[Crédito],MATCH(tb_Auditoria[[#This Row],[Nº CONTRATO]],[1]!tb_Vendas[Nº Contrato],0)),0)</f>
        <v>300000</v>
      </c>
      <c r="K581" s="21">
        <f>IFERROR(tb_Auditoria[[#This Row],[VALOR ESPERADO]] / tb_Auditoria[[#This Row],[VALOR CRÉDITO]], 0)</f>
        <v>0</v>
      </c>
      <c r="L581" s="19" t="e">
        <f>SUMIFS([1]!Motor_Comissão[Valor Previsto],[1]!Motor_Comissão[Chave], tb_Auditoria[[#This Row],[Nº CONTRATO]]&amp;"-"&amp;tb_Auditoria[[#This Row],[PARCELA ATUAL]])</f>
        <v>#REF!</v>
      </c>
      <c r="M581" s="19" t="e">
        <f>tb_Auditoria[[#This Row],[VALOR PAGO]] - tb_Auditoria[[#This Row],[VALOR ESPERADO]]</f>
        <v>#REF!</v>
      </c>
      <c r="N5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2" spans="1:15">
      <c r="A582" s="9">
        <v>1156004</v>
      </c>
      <c r="B582" s="10">
        <v>5</v>
      </c>
      <c r="C582" s="28">
        <v>3.5999999999999999E-3</v>
      </c>
      <c r="D582" s="12">
        <f>tb_Auditoria[[#This Row],[% TAXA RELATÓRIO]]*tb_Auditoria[[#This Row],[VALOR CRÉDITO]]</f>
        <v>1080</v>
      </c>
      <c r="E582" s="13">
        <v>46129</v>
      </c>
      <c r="F582" s="13" t="s">
        <v>17</v>
      </c>
      <c r="G58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8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2" s="19">
        <f>IFERROR(INDEX([1]!tb_Vendas[Crédito],MATCH(tb_Auditoria[[#This Row],[Nº CONTRATO]],[1]!tb_Vendas[Nº Contrato],0)),0)</f>
        <v>300000</v>
      </c>
      <c r="K582" s="21">
        <f>IFERROR(tb_Auditoria[[#This Row],[VALOR ESPERADO]] / tb_Auditoria[[#This Row],[VALOR CRÉDITO]], 0)</f>
        <v>0</v>
      </c>
      <c r="L582" s="19" t="e">
        <f>SUMIFS([1]!Motor_Comissão[Valor Previsto],[1]!Motor_Comissão[Chave], tb_Auditoria[[#This Row],[Nº CONTRATO]]&amp;"-"&amp;tb_Auditoria[[#This Row],[PARCELA ATUAL]])</f>
        <v>#REF!</v>
      </c>
      <c r="M582" s="19" t="e">
        <f>tb_Auditoria[[#This Row],[VALOR PAGO]] - tb_Auditoria[[#This Row],[VALOR ESPERADO]]</f>
        <v>#REF!</v>
      </c>
      <c r="N5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3" spans="1:15">
      <c r="A583" s="9">
        <v>1156015</v>
      </c>
      <c r="B583" s="10">
        <v>4</v>
      </c>
      <c r="C583" s="28">
        <v>3.5999999999999999E-3</v>
      </c>
      <c r="D583" s="12">
        <f>tb_Auditoria[[#This Row],[% TAXA RELATÓRIO]]*tb_Auditoria[[#This Row],[VALOR CRÉDITO]]</f>
        <v>1080</v>
      </c>
      <c r="E583" s="13">
        <v>46100</v>
      </c>
      <c r="F583" s="13" t="s">
        <v>17</v>
      </c>
      <c r="G58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8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3" s="19">
        <f>IFERROR(INDEX([1]!tb_Vendas[Crédito],MATCH(tb_Auditoria[[#This Row],[Nº CONTRATO]],[1]!tb_Vendas[Nº Contrato],0)),0)</f>
        <v>300000</v>
      </c>
      <c r="K583" s="21">
        <f>IFERROR(tb_Auditoria[[#This Row],[VALOR ESPERADO]] / tb_Auditoria[[#This Row],[VALOR CRÉDITO]], 0)</f>
        <v>0</v>
      </c>
      <c r="L583" s="19" t="e">
        <f>SUMIFS([1]!Motor_Comissão[Valor Previsto],[1]!Motor_Comissão[Chave], tb_Auditoria[[#This Row],[Nº CONTRATO]]&amp;"-"&amp;tb_Auditoria[[#This Row],[PARCELA ATUAL]])</f>
        <v>#REF!</v>
      </c>
      <c r="M583" s="19" t="e">
        <f>tb_Auditoria[[#This Row],[VALOR PAGO]] - tb_Auditoria[[#This Row],[VALOR ESPERADO]]</f>
        <v>#REF!</v>
      </c>
      <c r="N5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4" spans="1:15">
      <c r="A584" s="9">
        <v>1156015</v>
      </c>
      <c r="B584" s="10">
        <v>6</v>
      </c>
      <c r="C584" s="28">
        <v>3.5999999999999999E-3</v>
      </c>
      <c r="D584" s="12">
        <f>tb_Auditoria[[#This Row],[% TAXA RELATÓRIO]]*tb_Auditoria[[#This Row],[VALOR CRÉDITO]]</f>
        <v>1080</v>
      </c>
      <c r="E584" s="13">
        <v>46161</v>
      </c>
      <c r="F584" s="13" t="s">
        <v>17</v>
      </c>
      <c r="G58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8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4" s="19">
        <f>IFERROR(INDEX([1]!tb_Vendas[Crédito],MATCH(tb_Auditoria[[#This Row],[Nº CONTRATO]],[1]!tb_Vendas[Nº Contrato],0)),0)</f>
        <v>300000</v>
      </c>
      <c r="K584" s="21">
        <f>IFERROR(tb_Auditoria[[#This Row],[VALOR ESPERADO]] / tb_Auditoria[[#This Row],[VALOR CRÉDITO]], 0)</f>
        <v>0</v>
      </c>
      <c r="L584" s="19" t="e">
        <f>SUMIFS([1]!Motor_Comissão[Valor Previsto],[1]!Motor_Comissão[Chave], tb_Auditoria[[#This Row],[Nº CONTRATO]]&amp;"-"&amp;tb_Auditoria[[#This Row],[PARCELA ATUAL]])</f>
        <v>#REF!</v>
      </c>
      <c r="M584" s="19" t="e">
        <f>tb_Auditoria[[#This Row],[VALOR PAGO]] - tb_Auditoria[[#This Row],[VALOR ESPERADO]]</f>
        <v>#REF!</v>
      </c>
      <c r="N5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5" spans="1:15">
      <c r="A585" s="9">
        <v>1156015</v>
      </c>
      <c r="B585" s="10">
        <v>1</v>
      </c>
      <c r="C585" s="28">
        <v>4.1399999999999996E-3</v>
      </c>
      <c r="D585" s="12">
        <f>tb_Auditoria[[#This Row],[% TAXA RELATÓRIO]]*tb_Auditoria[[#This Row],[VALOR CRÉDITO]]</f>
        <v>1241.9999999999998</v>
      </c>
      <c r="E585" s="13">
        <v>46008</v>
      </c>
      <c r="F585" s="13" t="s">
        <v>17</v>
      </c>
      <c r="G58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8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5" s="19">
        <f>IFERROR(INDEX([1]!tb_Vendas[Crédito],MATCH(tb_Auditoria[[#This Row],[Nº CONTRATO]],[1]!tb_Vendas[Nº Contrato],0)),0)</f>
        <v>300000</v>
      </c>
      <c r="K585" s="21">
        <f>IFERROR(tb_Auditoria[[#This Row],[VALOR ESPERADO]] / tb_Auditoria[[#This Row],[VALOR CRÉDITO]], 0)</f>
        <v>0</v>
      </c>
      <c r="L585" s="19" t="e">
        <f>SUMIFS([1]!Motor_Comissão[Valor Previsto],[1]!Motor_Comissão[Chave], tb_Auditoria[[#This Row],[Nº CONTRATO]]&amp;"-"&amp;tb_Auditoria[[#This Row],[PARCELA ATUAL]])</f>
        <v>#REF!</v>
      </c>
      <c r="M585" s="19" t="e">
        <f>tb_Auditoria[[#This Row],[VALOR PAGO]] - tb_Auditoria[[#This Row],[VALOR ESPERADO]]</f>
        <v>#REF!</v>
      </c>
      <c r="N5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6" spans="1:15">
      <c r="A586" s="9">
        <v>1156015</v>
      </c>
      <c r="B586" s="10">
        <v>2</v>
      </c>
      <c r="C586" s="28">
        <v>3.5999999999999999E-3</v>
      </c>
      <c r="D586" s="12">
        <f>tb_Auditoria[[#This Row],[% TAXA RELATÓRIO]]*tb_Auditoria[[#This Row],[VALOR CRÉDITO]]</f>
        <v>1080</v>
      </c>
      <c r="E586" s="13">
        <v>46038</v>
      </c>
      <c r="F586" s="13" t="s">
        <v>17</v>
      </c>
      <c r="G58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8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6" s="19">
        <f>IFERROR(INDEX([1]!tb_Vendas[Crédito],MATCH(tb_Auditoria[[#This Row],[Nº CONTRATO]],[1]!tb_Vendas[Nº Contrato],0)),0)</f>
        <v>300000</v>
      </c>
      <c r="K586" s="21">
        <f>IFERROR(tb_Auditoria[[#This Row],[VALOR ESPERADO]] / tb_Auditoria[[#This Row],[VALOR CRÉDITO]], 0)</f>
        <v>0</v>
      </c>
      <c r="L586" s="19" t="e">
        <f>SUMIFS([1]!Motor_Comissão[Valor Previsto],[1]!Motor_Comissão[Chave], tb_Auditoria[[#This Row],[Nº CONTRATO]]&amp;"-"&amp;tb_Auditoria[[#This Row],[PARCELA ATUAL]])</f>
        <v>#REF!</v>
      </c>
      <c r="M586" s="19" t="e">
        <f>tb_Auditoria[[#This Row],[VALOR PAGO]] - tb_Auditoria[[#This Row],[VALOR ESPERADO]]</f>
        <v>#REF!</v>
      </c>
      <c r="N5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7" spans="1:15">
      <c r="A587" s="9">
        <v>1156015</v>
      </c>
      <c r="B587" s="10">
        <v>3</v>
      </c>
      <c r="C587" s="28">
        <v>3.5999999999999999E-3</v>
      </c>
      <c r="D587" s="12">
        <f>tb_Auditoria[[#This Row],[% TAXA RELATÓRIO]]*tb_Auditoria[[#This Row],[VALOR CRÉDITO]]</f>
        <v>1080</v>
      </c>
      <c r="E587" s="13">
        <v>46072</v>
      </c>
      <c r="F587" s="13" t="s">
        <v>17</v>
      </c>
      <c r="G58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8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7" s="19">
        <f>IFERROR(INDEX([1]!tb_Vendas[Crédito],MATCH(tb_Auditoria[[#This Row],[Nº CONTRATO]],[1]!tb_Vendas[Nº Contrato],0)),0)</f>
        <v>300000</v>
      </c>
      <c r="K587" s="21">
        <f>IFERROR(tb_Auditoria[[#This Row],[VALOR ESPERADO]] / tb_Auditoria[[#This Row],[VALOR CRÉDITO]], 0)</f>
        <v>0</v>
      </c>
      <c r="L587" s="19" t="e">
        <f>SUMIFS([1]!Motor_Comissão[Valor Previsto],[1]!Motor_Comissão[Chave], tb_Auditoria[[#This Row],[Nº CONTRATO]]&amp;"-"&amp;tb_Auditoria[[#This Row],[PARCELA ATUAL]])</f>
        <v>#REF!</v>
      </c>
      <c r="M587" s="19" t="e">
        <f>tb_Auditoria[[#This Row],[VALOR PAGO]] - tb_Auditoria[[#This Row],[VALOR ESPERADO]]</f>
        <v>#REF!</v>
      </c>
      <c r="N5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8" spans="1:15">
      <c r="A588" s="9">
        <v>1156015</v>
      </c>
      <c r="B588" s="10">
        <v>5</v>
      </c>
      <c r="C588" s="28">
        <v>3.5999999999999999E-3</v>
      </c>
      <c r="D588" s="12">
        <f>tb_Auditoria[[#This Row],[% TAXA RELATÓRIO]]*tb_Auditoria[[#This Row],[VALOR CRÉDITO]]</f>
        <v>1080</v>
      </c>
      <c r="E588" s="13">
        <v>46129</v>
      </c>
      <c r="F588" s="13" t="s">
        <v>17</v>
      </c>
      <c r="G58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8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8" s="19">
        <f>IFERROR(INDEX([1]!tb_Vendas[Crédito],MATCH(tb_Auditoria[[#This Row],[Nº CONTRATO]],[1]!tb_Vendas[Nº Contrato],0)),0)</f>
        <v>300000</v>
      </c>
      <c r="K588" s="21">
        <f>IFERROR(tb_Auditoria[[#This Row],[VALOR ESPERADO]] / tb_Auditoria[[#This Row],[VALOR CRÉDITO]], 0)</f>
        <v>0</v>
      </c>
      <c r="L588" s="19" t="e">
        <f>SUMIFS([1]!Motor_Comissão[Valor Previsto],[1]!Motor_Comissão[Chave], tb_Auditoria[[#This Row],[Nº CONTRATO]]&amp;"-"&amp;tb_Auditoria[[#This Row],[PARCELA ATUAL]])</f>
        <v>#REF!</v>
      </c>
      <c r="M588" s="19" t="e">
        <f>tb_Auditoria[[#This Row],[VALOR PAGO]] - tb_Auditoria[[#This Row],[VALOR ESPERADO]]</f>
        <v>#REF!</v>
      </c>
      <c r="N5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89" spans="1:15">
      <c r="A589" s="9">
        <v>1156031</v>
      </c>
      <c r="B589" s="10">
        <v>4</v>
      </c>
      <c r="C589" s="28">
        <v>5.1200000000000004E-3</v>
      </c>
      <c r="D589" s="12">
        <f>tb_Auditoria[[#This Row],[% TAXA RELATÓRIO]]*tb_Auditoria[[#This Row],[VALOR CRÉDITO]]</f>
        <v>2153.9307520000002</v>
      </c>
      <c r="E589" s="13">
        <v>46100</v>
      </c>
      <c r="F589" s="13" t="s">
        <v>17</v>
      </c>
      <c r="G58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8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8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89" s="19">
        <f>IFERROR(INDEX([1]!tb_Vendas[Crédito],MATCH(tb_Auditoria[[#This Row],[Nº CONTRATO]],[1]!tb_Vendas[Nº Contrato],0)),0)</f>
        <v>420689.6</v>
      </c>
      <c r="K589" s="21">
        <f>IFERROR(tb_Auditoria[[#This Row],[VALOR ESPERADO]] / tb_Auditoria[[#This Row],[VALOR CRÉDITO]], 0)</f>
        <v>0</v>
      </c>
      <c r="L589" s="19" t="e">
        <f>SUMIFS([1]!Motor_Comissão[Valor Previsto],[1]!Motor_Comissão[Chave], tb_Auditoria[[#This Row],[Nº CONTRATO]]&amp;"-"&amp;tb_Auditoria[[#This Row],[PARCELA ATUAL]])</f>
        <v>#REF!</v>
      </c>
      <c r="M589" s="19" t="e">
        <f>tb_Auditoria[[#This Row],[VALOR PAGO]] - tb_Auditoria[[#This Row],[VALOR ESPERADO]]</f>
        <v>#REF!</v>
      </c>
      <c r="N5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0" spans="1:15">
      <c r="A590" s="9">
        <v>1156031</v>
      </c>
      <c r="B590" s="10">
        <v>6</v>
      </c>
      <c r="C590" s="28">
        <v>5.1200000000000004E-3</v>
      </c>
      <c r="D590" s="12">
        <f>tb_Auditoria[[#This Row],[% TAXA RELATÓRIO]]*tb_Auditoria[[#This Row],[VALOR CRÉDITO]]</f>
        <v>2153.9307520000002</v>
      </c>
      <c r="E590" s="13">
        <v>46161</v>
      </c>
      <c r="F590" s="13" t="s">
        <v>17</v>
      </c>
      <c r="G59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9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0" s="19">
        <f>IFERROR(INDEX([1]!tb_Vendas[Crédito],MATCH(tb_Auditoria[[#This Row],[Nº CONTRATO]],[1]!tb_Vendas[Nº Contrato],0)),0)</f>
        <v>420689.6</v>
      </c>
      <c r="K590" s="21">
        <f>IFERROR(tb_Auditoria[[#This Row],[VALOR ESPERADO]] / tb_Auditoria[[#This Row],[VALOR CRÉDITO]], 0)</f>
        <v>0</v>
      </c>
      <c r="L590" s="19" t="e">
        <f>SUMIFS([1]!Motor_Comissão[Valor Previsto],[1]!Motor_Comissão[Chave], tb_Auditoria[[#This Row],[Nº CONTRATO]]&amp;"-"&amp;tb_Auditoria[[#This Row],[PARCELA ATUAL]])</f>
        <v>#REF!</v>
      </c>
      <c r="M590" s="19" t="e">
        <f>tb_Auditoria[[#This Row],[VALOR PAGO]] - tb_Auditoria[[#This Row],[VALOR ESPERADO]]</f>
        <v>#REF!</v>
      </c>
      <c r="N5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1" spans="1:15">
      <c r="A591" s="9">
        <v>1156031</v>
      </c>
      <c r="B591" s="10">
        <v>1</v>
      </c>
      <c r="C591" s="28">
        <v>5.1200000000000004E-3</v>
      </c>
      <c r="D591" s="12">
        <f>tb_Auditoria[[#This Row],[% TAXA RELATÓRIO]]*tb_Auditoria[[#This Row],[VALOR CRÉDITO]]</f>
        <v>2153.9307520000002</v>
      </c>
      <c r="E591" s="13">
        <v>46008</v>
      </c>
      <c r="F591" s="13" t="s">
        <v>17</v>
      </c>
      <c r="G59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9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1" s="19">
        <f>IFERROR(INDEX([1]!tb_Vendas[Crédito],MATCH(tb_Auditoria[[#This Row],[Nº CONTRATO]],[1]!tb_Vendas[Nº Contrato],0)),0)</f>
        <v>420689.6</v>
      </c>
      <c r="K591" s="21">
        <f>IFERROR(tb_Auditoria[[#This Row],[VALOR ESPERADO]] / tb_Auditoria[[#This Row],[VALOR CRÉDITO]], 0)</f>
        <v>0</v>
      </c>
      <c r="L591" s="19" t="e">
        <f>SUMIFS([1]!Motor_Comissão[Valor Previsto],[1]!Motor_Comissão[Chave], tb_Auditoria[[#This Row],[Nº CONTRATO]]&amp;"-"&amp;tb_Auditoria[[#This Row],[PARCELA ATUAL]])</f>
        <v>#REF!</v>
      </c>
      <c r="M591" s="19" t="e">
        <f>tb_Auditoria[[#This Row],[VALOR PAGO]] - tb_Auditoria[[#This Row],[VALOR ESPERADO]]</f>
        <v>#REF!</v>
      </c>
      <c r="N5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2" spans="1:15">
      <c r="A592" s="9">
        <v>1156031</v>
      </c>
      <c r="B592" s="10">
        <v>2</v>
      </c>
      <c r="C592" s="28">
        <v>5.1200000000000004E-3</v>
      </c>
      <c r="D592" s="12">
        <f>tb_Auditoria[[#This Row],[% TAXA RELATÓRIO]]*tb_Auditoria[[#This Row],[VALOR CRÉDITO]]</f>
        <v>2153.9307520000002</v>
      </c>
      <c r="E592" s="13">
        <v>46038</v>
      </c>
      <c r="F592" s="13" t="s">
        <v>17</v>
      </c>
      <c r="G59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9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2" s="19">
        <f>IFERROR(INDEX([1]!tb_Vendas[Crédito],MATCH(tb_Auditoria[[#This Row],[Nº CONTRATO]],[1]!tb_Vendas[Nº Contrato],0)),0)</f>
        <v>420689.6</v>
      </c>
      <c r="K592" s="21">
        <f>IFERROR(tb_Auditoria[[#This Row],[VALOR ESPERADO]] / tb_Auditoria[[#This Row],[VALOR CRÉDITO]], 0)</f>
        <v>0</v>
      </c>
      <c r="L592" s="19" t="e">
        <f>SUMIFS([1]!Motor_Comissão[Valor Previsto],[1]!Motor_Comissão[Chave], tb_Auditoria[[#This Row],[Nº CONTRATO]]&amp;"-"&amp;tb_Auditoria[[#This Row],[PARCELA ATUAL]])</f>
        <v>#REF!</v>
      </c>
      <c r="M592" s="19" t="e">
        <f>tb_Auditoria[[#This Row],[VALOR PAGO]] - tb_Auditoria[[#This Row],[VALOR ESPERADO]]</f>
        <v>#REF!</v>
      </c>
      <c r="N5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3" spans="1:15">
      <c r="A593" s="9">
        <v>1156031</v>
      </c>
      <c r="B593" s="10">
        <v>3</v>
      </c>
      <c r="C593" s="28">
        <v>5.1200000000000004E-3</v>
      </c>
      <c r="D593" s="12">
        <f>tb_Auditoria[[#This Row],[% TAXA RELATÓRIO]]*tb_Auditoria[[#This Row],[VALOR CRÉDITO]]</f>
        <v>2153.9307520000002</v>
      </c>
      <c r="E593" s="13">
        <v>46072</v>
      </c>
      <c r="F593" s="13" t="s">
        <v>17</v>
      </c>
      <c r="G59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9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3" s="19">
        <f>IFERROR(INDEX([1]!tb_Vendas[Crédito],MATCH(tb_Auditoria[[#This Row],[Nº CONTRATO]],[1]!tb_Vendas[Nº Contrato],0)),0)</f>
        <v>420689.6</v>
      </c>
      <c r="K593" s="21">
        <f>IFERROR(tb_Auditoria[[#This Row],[VALOR ESPERADO]] / tb_Auditoria[[#This Row],[VALOR CRÉDITO]], 0)</f>
        <v>0</v>
      </c>
      <c r="L593" s="19" t="e">
        <f>SUMIFS([1]!Motor_Comissão[Valor Previsto],[1]!Motor_Comissão[Chave], tb_Auditoria[[#This Row],[Nº CONTRATO]]&amp;"-"&amp;tb_Auditoria[[#This Row],[PARCELA ATUAL]])</f>
        <v>#REF!</v>
      </c>
      <c r="M593" s="19" t="e">
        <f>tb_Auditoria[[#This Row],[VALOR PAGO]] - tb_Auditoria[[#This Row],[VALOR ESPERADO]]</f>
        <v>#REF!</v>
      </c>
      <c r="N5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4" spans="1:15">
      <c r="A594" s="9">
        <v>1156031</v>
      </c>
      <c r="B594" s="10">
        <v>5</v>
      </c>
      <c r="C594" s="28">
        <v>5.1200000000000004E-3</v>
      </c>
      <c r="D594" s="12">
        <f>tb_Auditoria[[#This Row],[% TAXA RELATÓRIO]]*tb_Auditoria[[#This Row],[VALOR CRÉDITO]]</f>
        <v>2153.9307520000002</v>
      </c>
      <c r="E594" s="13">
        <v>46129</v>
      </c>
      <c r="F594" s="13" t="s">
        <v>17</v>
      </c>
      <c r="G59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9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4" s="19">
        <f>IFERROR(INDEX([1]!tb_Vendas[Crédito],MATCH(tb_Auditoria[[#This Row],[Nº CONTRATO]],[1]!tb_Vendas[Nº Contrato],0)),0)</f>
        <v>420689.6</v>
      </c>
      <c r="K594" s="21">
        <f>IFERROR(tb_Auditoria[[#This Row],[VALOR ESPERADO]] / tb_Auditoria[[#This Row],[VALOR CRÉDITO]], 0)</f>
        <v>0</v>
      </c>
      <c r="L594" s="19" t="e">
        <f>SUMIFS([1]!Motor_Comissão[Valor Previsto],[1]!Motor_Comissão[Chave], tb_Auditoria[[#This Row],[Nº CONTRATO]]&amp;"-"&amp;tb_Auditoria[[#This Row],[PARCELA ATUAL]])</f>
        <v>#REF!</v>
      </c>
      <c r="M594" s="19" t="e">
        <f>tb_Auditoria[[#This Row],[VALOR PAGO]] - tb_Auditoria[[#This Row],[VALOR ESPERADO]]</f>
        <v>#REF!</v>
      </c>
      <c r="N59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5" spans="1:15">
      <c r="A595" s="9">
        <v>1156036</v>
      </c>
      <c r="B595" s="10">
        <v>4</v>
      </c>
      <c r="C595" s="28">
        <v>5.1200000000000004E-3</v>
      </c>
      <c r="D595" s="12">
        <f>tb_Auditoria[[#This Row],[% TAXA RELATÓRIO]]*tb_Auditoria[[#This Row],[VALOR CRÉDITO]]</f>
        <v>2153.9307520000002</v>
      </c>
      <c r="E595" s="13">
        <v>46100</v>
      </c>
      <c r="F595" s="13" t="s">
        <v>17</v>
      </c>
      <c r="G59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9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5" s="19">
        <f>IFERROR(INDEX([1]!tb_Vendas[Crédito],MATCH(tb_Auditoria[[#This Row],[Nº CONTRATO]],[1]!tb_Vendas[Nº Contrato],0)),0)</f>
        <v>420689.6</v>
      </c>
      <c r="K595" s="21">
        <f>IFERROR(tb_Auditoria[[#This Row],[VALOR ESPERADO]] / tb_Auditoria[[#This Row],[VALOR CRÉDITO]], 0)</f>
        <v>0</v>
      </c>
      <c r="L595" s="19" t="e">
        <f>SUMIFS([1]!Motor_Comissão[Valor Previsto],[1]!Motor_Comissão[Chave], tb_Auditoria[[#This Row],[Nº CONTRATO]]&amp;"-"&amp;tb_Auditoria[[#This Row],[PARCELA ATUAL]])</f>
        <v>#REF!</v>
      </c>
      <c r="M595" s="19" t="e">
        <f>tb_Auditoria[[#This Row],[VALOR PAGO]] - tb_Auditoria[[#This Row],[VALOR ESPERADO]]</f>
        <v>#REF!</v>
      </c>
      <c r="N5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6" spans="1:15">
      <c r="A596" s="9">
        <v>1156036</v>
      </c>
      <c r="B596" s="10">
        <v>6</v>
      </c>
      <c r="C596" s="28">
        <v>5.1200000000000004E-3</v>
      </c>
      <c r="D596" s="12">
        <f>tb_Auditoria[[#This Row],[% TAXA RELATÓRIO]]*tb_Auditoria[[#This Row],[VALOR CRÉDITO]]</f>
        <v>2153.9307520000002</v>
      </c>
      <c r="E596" s="13">
        <v>46161</v>
      </c>
      <c r="F596" s="13" t="s">
        <v>17</v>
      </c>
      <c r="G59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9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6" s="19">
        <f>IFERROR(INDEX([1]!tb_Vendas[Crédito],MATCH(tb_Auditoria[[#This Row],[Nº CONTRATO]],[1]!tb_Vendas[Nº Contrato],0)),0)</f>
        <v>420689.6</v>
      </c>
      <c r="K596" s="21">
        <f>IFERROR(tb_Auditoria[[#This Row],[VALOR ESPERADO]] / tb_Auditoria[[#This Row],[VALOR CRÉDITO]], 0)</f>
        <v>0</v>
      </c>
      <c r="L596" s="19" t="e">
        <f>SUMIFS([1]!Motor_Comissão[Valor Previsto],[1]!Motor_Comissão[Chave], tb_Auditoria[[#This Row],[Nº CONTRATO]]&amp;"-"&amp;tb_Auditoria[[#This Row],[PARCELA ATUAL]])</f>
        <v>#REF!</v>
      </c>
      <c r="M596" s="19" t="e">
        <f>tb_Auditoria[[#This Row],[VALOR PAGO]] - tb_Auditoria[[#This Row],[VALOR ESPERADO]]</f>
        <v>#REF!</v>
      </c>
      <c r="N5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7" spans="1:15">
      <c r="A597" s="9">
        <v>1156036</v>
      </c>
      <c r="B597" s="10">
        <v>1</v>
      </c>
      <c r="C597" s="28">
        <v>5.1200000000000004E-3</v>
      </c>
      <c r="D597" s="12">
        <f>tb_Auditoria[[#This Row],[% TAXA RELATÓRIO]]*tb_Auditoria[[#This Row],[VALOR CRÉDITO]]</f>
        <v>2153.9307520000002</v>
      </c>
      <c r="E597" s="13">
        <v>46008</v>
      </c>
      <c r="F597" s="13" t="s">
        <v>17</v>
      </c>
      <c r="G59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9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7" s="19">
        <f>IFERROR(INDEX([1]!tb_Vendas[Crédito],MATCH(tb_Auditoria[[#This Row],[Nº CONTRATO]],[1]!tb_Vendas[Nº Contrato],0)),0)</f>
        <v>420689.6</v>
      </c>
      <c r="K597" s="21">
        <f>IFERROR(tb_Auditoria[[#This Row],[VALOR ESPERADO]] / tb_Auditoria[[#This Row],[VALOR CRÉDITO]], 0)</f>
        <v>0</v>
      </c>
      <c r="L597" s="19" t="e">
        <f>SUMIFS([1]!Motor_Comissão[Valor Previsto],[1]!Motor_Comissão[Chave], tb_Auditoria[[#This Row],[Nº CONTRATO]]&amp;"-"&amp;tb_Auditoria[[#This Row],[PARCELA ATUAL]])</f>
        <v>#REF!</v>
      </c>
      <c r="M597" s="19" t="e">
        <f>tb_Auditoria[[#This Row],[VALOR PAGO]] - tb_Auditoria[[#This Row],[VALOR ESPERADO]]</f>
        <v>#REF!</v>
      </c>
      <c r="N5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8" spans="1:15">
      <c r="A598" s="9">
        <v>1156036</v>
      </c>
      <c r="B598" s="10">
        <v>2</v>
      </c>
      <c r="C598" s="28">
        <v>5.1200000000000004E-3</v>
      </c>
      <c r="D598" s="12">
        <f>tb_Auditoria[[#This Row],[% TAXA RELATÓRIO]]*tb_Auditoria[[#This Row],[VALOR CRÉDITO]]</f>
        <v>2153.9307520000002</v>
      </c>
      <c r="E598" s="13">
        <v>46038</v>
      </c>
      <c r="F598" s="13" t="s">
        <v>17</v>
      </c>
      <c r="G59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9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8" s="19">
        <f>IFERROR(INDEX([1]!tb_Vendas[Crédito],MATCH(tb_Auditoria[[#This Row],[Nº CONTRATO]],[1]!tb_Vendas[Nº Contrato],0)),0)</f>
        <v>420689.6</v>
      </c>
      <c r="K598" s="21">
        <f>IFERROR(tb_Auditoria[[#This Row],[VALOR ESPERADO]] / tb_Auditoria[[#This Row],[VALOR CRÉDITO]], 0)</f>
        <v>0</v>
      </c>
      <c r="L598" s="19" t="e">
        <f>SUMIFS([1]!Motor_Comissão[Valor Previsto],[1]!Motor_Comissão[Chave], tb_Auditoria[[#This Row],[Nº CONTRATO]]&amp;"-"&amp;tb_Auditoria[[#This Row],[PARCELA ATUAL]])</f>
        <v>#REF!</v>
      </c>
      <c r="M598" s="19" t="e">
        <f>tb_Auditoria[[#This Row],[VALOR PAGO]] - tb_Auditoria[[#This Row],[VALOR ESPERADO]]</f>
        <v>#REF!</v>
      </c>
      <c r="N5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599" spans="1:15">
      <c r="A599" s="9">
        <v>1156036</v>
      </c>
      <c r="B599" s="10">
        <v>3</v>
      </c>
      <c r="C599" s="28">
        <v>5.1200000000000004E-3</v>
      </c>
      <c r="D599" s="12">
        <f>tb_Auditoria[[#This Row],[% TAXA RELATÓRIO]]*tb_Auditoria[[#This Row],[VALOR CRÉDITO]]</f>
        <v>2153.9307520000002</v>
      </c>
      <c r="E599" s="13">
        <v>46072</v>
      </c>
      <c r="F599" s="13" t="s">
        <v>17</v>
      </c>
      <c r="G59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59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59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599" s="19">
        <f>IFERROR(INDEX([1]!tb_Vendas[Crédito],MATCH(tb_Auditoria[[#This Row],[Nº CONTRATO]],[1]!tb_Vendas[Nº Contrato],0)),0)</f>
        <v>420689.6</v>
      </c>
      <c r="K599" s="21">
        <f>IFERROR(tb_Auditoria[[#This Row],[VALOR ESPERADO]] / tb_Auditoria[[#This Row],[VALOR CRÉDITO]], 0)</f>
        <v>0</v>
      </c>
      <c r="L599" s="19" t="e">
        <f>SUMIFS([1]!Motor_Comissão[Valor Previsto],[1]!Motor_Comissão[Chave], tb_Auditoria[[#This Row],[Nº CONTRATO]]&amp;"-"&amp;tb_Auditoria[[#This Row],[PARCELA ATUAL]])</f>
        <v>#REF!</v>
      </c>
      <c r="M599" s="19" t="e">
        <f>tb_Auditoria[[#This Row],[VALOR PAGO]] - tb_Auditoria[[#This Row],[VALOR ESPERADO]]</f>
        <v>#REF!</v>
      </c>
      <c r="N5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5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0" spans="1:15">
      <c r="A600" s="9">
        <v>1156036</v>
      </c>
      <c r="B600" s="10">
        <v>5</v>
      </c>
      <c r="C600" s="28">
        <v>5.1200000000000004E-3</v>
      </c>
      <c r="D600" s="12">
        <f>tb_Auditoria[[#This Row],[% TAXA RELATÓRIO]]*tb_Auditoria[[#This Row],[VALOR CRÉDITO]]</f>
        <v>2153.9307520000002</v>
      </c>
      <c r="E600" s="13">
        <v>46129</v>
      </c>
      <c r="F600" s="13" t="s">
        <v>17</v>
      </c>
      <c r="G60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0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0" s="19">
        <f>IFERROR(INDEX([1]!tb_Vendas[Crédito],MATCH(tb_Auditoria[[#This Row],[Nº CONTRATO]],[1]!tb_Vendas[Nº Contrato],0)),0)</f>
        <v>420689.6</v>
      </c>
      <c r="K600" s="21">
        <f>IFERROR(tb_Auditoria[[#This Row],[VALOR ESPERADO]] / tb_Auditoria[[#This Row],[VALOR CRÉDITO]], 0)</f>
        <v>0</v>
      </c>
      <c r="L600" s="19" t="e">
        <f>SUMIFS([1]!Motor_Comissão[Valor Previsto],[1]!Motor_Comissão[Chave], tb_Auditoria[[#This Row],[Nº CONTRATO]]&amp;"-"&amp;tb_Auditoria[[#This Row],[PARCELA ATUAL]])</f>
        <v>#REF!</v>
      </c>
      <c r="M600" s="19" t="e">
        <f>tb_Auditoria[[#This Row],[VALOR PAGO]] - tb_Auditoria[[#This Row],[VALOR ESPERADO]]</f>
        <v>#REF!</v>
      </c>
      <c r="N6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1" spans="1:15">
      <c r="A601" s="9">
        <v>1156038</v>
      </c>
      <c r="B601" s="10">
        <v>4</v>
      </c>
      <c r="C601" s="28">
        <v>5.1200000000000004E-3</v>
      </c>
      <c r="D601" s="12">
        <f>tb_Auditoria[[#This Row],[% TAXA RELATÓRIO]]*tb_Auditoria[[#This Row],[VALOR CRÉDITO]]</f>
        <v>2153.9307520000002</v>
      </c>
      <c r="E601" s="13">
        <v>46100</v>
      </c>
      <c r="F601" s="13" t="s">
        <v>17</v>
      </c>
      <c r="G60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0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1" s="19">
        <f>IFERROR(INDEX([1]!tb_Vendas[Crédito],MATCH(tb_Auditoria[[#This Row],[Nº CONTRATO]],[1]!tb_Vendas[Nº Contrato],0)),0)</f>
        <v>420689.6</v>
      </c>
      <c r="K601" s="21">
        <f>IFERROR(tb_Auditoria[[#This Row],[VALOR ESPERADO]] / tb_Auditoria[[#This Row],[VALOR CRÉDITO]], 0)</f>
        <v>0</v>
      </c>
      <c r="L601" s="19" t="e">
        <f>SUMIFS([1]!Motor_Comissão[Valor Previsto],[1]!Motor_Comissão[Chave], tb_Auditoria[[#This Row],[Nº CONTRATO]]&amp;"-"&amp;tb_Auditoria[[#This Row],[PARCELA ATUAL]])</f>
        <v>#REF!</v>
      </c>
      <c r="M601" s="19" t="e">
        <f>tb_Auditoria[[#This Row],[VALOR PAGO]] - tb_Auditoria[[#This Row],[VALOR ESPERADO]]</f>
        <v>#REF!</v>
      </c>
      <c r="N6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2" spans="1:15">
      <c r="A602" s="9">
        <v>1156038</v>
      </c>
      <c r="B602" s="10">
        <v>6</v>
      </c>
      <c r="C602" s="28">
        <v>5.1200000000000004E-3</v>
      </c>
      <c r="D602" s="12">
        <f>tb_Auditoria[[#This Row],[% TAXA RELATÓRIO]]*tb_Auditoria[[#This Row],[VALOR CRÉDITO]]</f>
        <v>2153.9307520000002</v>
      </c>
      <c r="E602" s="13">
        <v>46161</v>
      </c>
      <c r="F602" s="13" t="s">
        <v>17</v>
      </c>
      <c r="G60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0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2" s="19">
        <f>IFERROR(INDEX([1]!tb_Vendas[Crédito],MATCH(tb_Auditoria[[#This Row],[Nº CONTRATO]],[1]!tb_Vendas[Nº Contrato],0)),0)</f>
        <v>420689.6</v>
      </c>
      <c r="K602" s="21">
        <f>IFERROR(tb_Auditoria[[#This Row],[VALOR ESPERADO]] / tb_Auditoria[[#This Row],[VALOR CRÉDITO]], 0)</f>
        <v>0</v>
      </c>
      <c r="L602" s="19" t="e">
        <f>SUMIFS([1]!Motor_Comissão[Valor Previsto],[1]!Motor_Comissão[Chave], tb_Auditoria[[#This Row],[Nº CONTRATO]]&amp;"-"&amp;tb_Auditoria[[#This Row],[PARCELA ATUAL]])</f>
        <v>#REF!</v>
      </c>
      <c r="M602" s="19" t="e">
        <f>tb_Auditoria[[#This Row],[VALOR PAGO]] - tb_Auditoria[[#This Row],[VALOR ESPERADO]]</f>
        <v>#REF!</v>
      </c>
      <c r="N6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3" spans="1:15">
      <c r="A603" s="9">
        <v>1156038</v>
      </c>
      <c r="B603" s="10">
        <v>1</v>
      </c>
      <c r="C603" s="28">
        <v>5.1200000000000004E-3</v>
      </c>
      <c r="D603" s="12">
        <f>tb_Auditoria[[#This Row],[% TAXA RELATÓRIO]]*tb_Auditoria[[#This Row],[VALOR CRÉDITO]]</f>
        <v>2153.9307520000002</v>
      </c>
      <c r="E603" s="13">
        <v>46008</v>
      </c>
      <c r="F603" s="13" t="s">
        <v>17</v>
      </c>
      <c r="G60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0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3" s="19">
        <f>IFERROR(INDEX([1]!tb_Vendas[Crédito],MATCH(tb_Auditoria[[#This Row],[Nº CONTRATO]],[1]!tb_Vendas[Nº Contrato],0)),0)</f>
        <v>420689.6</v>
      </c>
      <c r="K603" s="21">
        <f>IFERROR(tb_Auditoria[[#This Row],[VALOR ESPERADO]] / tb_Auditoria[[#This Row],[VALOR CRÉDITO]], 0)</f>
        <v>0</v>
      </c>
      <c r="L603" s="19" t="e">
        <f>SUMIFS([1]!Motor_Comissão[Valor Previsto],[1]!Motor_Comissão[Chave], tb_Auditoria[[#This Row],[Nº CONTRATO]]&amp;"-"&amp;tb_Auditoria[[#This Row],[PARCELA ATUAL]])</f>
        <v>#REF!</v>
      </c>
      <c r="M603" s="19" t="e">
        <f>tb_Auditoria[[#This Row],[VALOR PAGO]] - tb_Auditoria[[#This Row],[VALOR ESPERADO]]</f>
        <v>#REF!</v>
      </c>
      <c r="N6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4" spans="1:15">
      <c r="A604" s="9">
        <v>1156038</v>
      </c>
      <c r="B604" s="10">
        <v>2</v>
      </c>
      <c r="C604" s="28">
        <v>5.1200000000000004E-3</v>
      </c>
      <c r="D604" s="12">
        <f>tb_Auditoria[[#This Row],[% TAXA RELATÓRIO]]*tb_Auditoria[[#This Row],[VALOR CRÉDITO]]</f>
        <v>2153.9307520000002</v>
      </c>
      <c r="E604" s="13">
        <v>46038</v>
      </c>
      <c r="F604" s="13" t="s">
        <v>17</v>
      </c>
      <c r="G60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0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4" s="19">
        <f>IFERROR(INDEX([1]!tb_Vendas[Crédito],MATCH(tb_Auditoria[[#This Row],[Nº CONTRATO]],[1]!tb_Vendas[Nº Contrato],0)),0)</f>
        <v>420689.6</v>
      </c>
      <c r="K604" s="21">
        <f>IFERROR(tb_Auditoria[[#This Row],[VALOR ESPERADO]] / tb_Auditoria[[#This Row],[VALOR CRÉDITO]], 0)</f>
        <v>0</v>
      </c>
      <c r="L604" s="19" t="e">
        <f>SUMIFS([1]!Motor_Comissão[Valor Previsto],[1]!Motor_Comissão[Chave], tb_Auditoria[[#This Row],[Nº CONTRATO]]&amp;"-"&amp;tb_Auditoria[[#This Row],[PARCELA ATUAL]])</f>
        <v>#REF!</v>
      </c>
      <c r="M604" s="19" t="e">
        <f>tb_Auditoria[[#This Row],[VALOR PAGO]] - tb_Auditoria[[#This Row],[VALOR ESPERADO]]</f>
        <v>#REF!</v>
      </c>
      <c r="N6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5" spans="1:15">
      <c r="A605" s="9">
        <v>1156038</v>
      </c>
      <c r="B605" s="10">
        <v>3</v>
      </c>
      <c r="C605" s="28">
        <v>5.1200000000000004E-3</v>
      </c>
      <c r="D605" s="12">
        <f>tb_Auditoria[[#This Row],[% TAXA RELATÓRIO]]*tb_Auditoria[[#This Row],[VALOR CRÉDITO]]</f>
        <v>2153.9307520000002</v>
      </c>
      <c r="E605" s="13">
        <v>46072</v>
      </c>
      <c r="F605" s="13" t="s">
        <v>17</v>
      </c>
      <c r="G60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0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5" s="19">
        <f>IFERROR(INDEX([1]!tb_Vendas[Crédito],MATCH(tb_Auditoria[[#This Row],[Nº CONTRATO]],[1]!tb_Vendas[Nº Contrato],0)),0)</f>
        <v>420689.6</v>
      </c>
      <c r="K605" s="21">
        <f>IFERROR(tb_Auditoria[[#This Row],[VALOR ESPERADO]] / tb_Auditoria[[#This Row],[VALOR CRÉDITO]], 0)</f>
        <v>0</v>
      </c>
      <c r="L605" s="19" t="e">
        <f>SUMIFS([1]!Motor_Comissão[Valor Previsto],[1]!Motor_Comissão[Chave], tb_Auditoria[[#This Row],[Nº CONTRATO]]&amp;"-"&amp;tb_Auditoria[[#This Row],[PARCELA ATUAL]])</f>
        <v>#REF!</v>
      </c>
      <c r="M605" s="19" t="e">
        <f>tb_Auditoria[[#This Row],[VALOR PAGO]] - tb_Auditoria[[#This Row],[VALOR ESPERADO]]</f>
        <v>#REF!</v>
      </c>
      <c r="N6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6" spans="1:15">
      <c r="A606" s="9">
        <v>1156038</v>
      </c>
      <c r="B606" s="10">
        <v>5</v>
      </c>
      <c r="C606" s="28">
        <v>5.1200000000000004E-3</v>
      </c>
      <c r="D606" s="12">
        <f>tb_Auditoria[[#This Row],[% TAXA RELATÓRIO]]*tb_Auditoria[[#This Row],[VALOR CRÉDITO]]</f>
        <v>2153.9307520000002</v>
      </c>
      <c r="E606" s="13">
        <v>46129</v>
      </c>
      <c r="F606" s="13" t="s">
        <v>17</v>
      </c>
      <c r="G60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0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6" s="19">
        <f>IFERROR(INDEX([1]!tb_Vendas[Crédito],MATCH(tb_Auditoria[[#This Row],[Nº CONTRATO]],[1]!tb_Vendas[Nº Contrato],0)),0)</f>
        <v>420689.6</v>
      </c>
      <c r="K606" s="21">
        <f>IFERROR(tb_Auditoria[[#This Row],[VALOR ESPERADO]] / tb_Auditoria[[#This Row],[VALOR CRÉDITO]], 0)</f>
        <v>0</v>
      </c>
      <c r="L606" s="19" t="e">
        <f>SUMIFS([1]!Motor_Comissão[Valor Previsto],[1]!Motor_Comissão[Chave], tb_Auditoria[[#This Row],[Nº CONTRATO]]&amp;"-"&amp;tb_Auditoria[[#This Row],[PARCELA ATUAL]])</f>
        <v>#REF!</v>
      </c>
      <c r="M606" s="19" t="e">
        <f>tb_Auditoria[[#This Row],[VALOR PAGO]] - tb_Auditoria[[#This Row],[VALOR ESPERADO]]</f>
        <v>#REF!</v>
      </c>
      <c r="N6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7" spans="1:15">
      <c r="A607" s="9">
        <v>1156049</v>
      </c>
      <c r="B607" s="10">
        <v>4</v>
      </c>
      <c r="C607" s="28">
        <v>5.1200000000000004E-3</v>
      </c>
      <c r="D607" s="12">
        <f>tb_Auditoria[[#This Row],[% TAXA RELATÓRIO]]*tb_Auditoria[[#This Row],[VALOR CRÉDITO]]</f>
        <v>2048</v>
      </c>
      <c r="E607" s="13">
        <v>46100</v>
      </c>
      <c r="F607" s="13" t="s">
        <v>17</v>
      </c>
      <c r="G60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0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7" s="19">
        <f>IFERROR(INDEX([1]!tb_Vendas[Crédito],MATCH(tb_Auditoria[[#This Row],[Nº CONTRATO]],[1]!tb_Vendas[Nº Contrato],0)),0)</f>
        <v>400000</v>
      </c>
      <c r="K607" s="21">
        <f>IFERROR(tb_Auditoria[[#This Row],[VALOR ESPERADO]] / tb_Auditoria[[#This Row],[VALOR CRÉDITO]], 0)</f>
        <v>0</v>
      </c>
      <c r="L607" s="19" t="e">
        <f>SUMIFS([1]!Motor_Comissão[Valor Previsto],[1]!Motor_Comissão[Chave], tb_Auditoria[[#This Row],[Nº CONTRATO]]&amp;"-"&amp;tb_Auditoria[[#This Row],[PARCELA ATUAL]])</f>
        <v>#REF!</v>
      </c>
      <c r="M607" s="19" t="e">
        <f>tb_Auditoria[[#This Row],[VALOR PAGO]] - tb_Auditoria[[#This Row],[VALOR ESPERADO]]</f>
        <v>#REF!</v>
      </c>
      <c r="N6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8" spans="1:15">
      <c r="A608" s="9">
        <v>1156049</v>
      </c>
      <c r="B608" s="10">
        <v>6</v>
      </c>
      <c r="C608" s="28">
        <v>5.1200000000000004E-3</v>
      </c>
      <c r="D608" s="12">
        <f>tb_Auditoria[[#This Row],[% TAXA RELATÓRIO]]*tb_Auditoria[[#This Row],[VALOR CRÉDITO]]</f>
        <v>2048</v>
      </c>
      <c r="E608" s="13">
        <v>46161</v>
      </c>
      <c r="F608" s="13" t="s">
        <v>17</v>
      </c>
      <c r="G60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0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8" s="19">
        <f>IFERROR(INDEX([1]!tb_Vendas[Crédito],MATCH(tb_Auditoria[[#This Row],[Nº CONTRATO]],[1]!tb_Vendas[Nº Contrato],0)),0)</f>
        <v>400000</v>
      </c>
      <c r="K608" s="21">
        <f>IFERROR(tb_Auditoria[[#This Row],[VALOR ESPERADO]] / tb_Auditoria[[#This Row],[VALOR CRÉDITO]], 0)</f>
        <v>0</v>
      </c>
      <c r="L608" s="19" t="e">
        <f>SUMIFS([1]!Motor_Comissão[Valor Previsto],[1]!Motor_Comissão[Chave], tb_Auditoria[[#This Row],[Nº CONTRATO]]&amp;"-"&amp;tb_Auditoria[[#This Row],[PARCELA ATUAL]])</f>
        <v>#REF!</v>
      </c>
      <c r="M608" s="19" t="e">
        <f>tb_Auditoria[[#This Row],[VALOR PAGO]] - tb_Auditoria[[#This Row],[VALOR ESPERADO]]</f>
        <v>#REF!</v>
      </c>
      <c r="N6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09" spans="1:15">
      <c r="A609" s="9">
        <v>1156049</v>
      </c>
      <c r="B609" s="10">
        <v>1</v>
      </c>
      <c r="C609" s="28">
        <v>5.1200000000000004E-3</v>
      </c>
      <c r="D609" s="12">
        <f>tb_Auditoria[[#This Row],[% TAXA RELATÓRIO]]*tb_Auditoria[[#This Row],[VALOR CRÉDITO]]</f>
        <v>2048</v>
      </c>
      <c r="E609" s="13">
        <v>46008</v>
      </c>
      <c r="F609" s="13" t="s">
        <v>17</v>
      </c>
      <c r="G60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0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0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09" s="19">
        <f>IFERROR(INDEX([1]!tb_Vendas[Crédito],MATCH(tb_Auditoria[[#This Row],[Nº CONTRATO]],[1]!tb_Vendas[Nº Contrato],0)),0)</f>
        <v>400000</v>
      </c>
      <c r="K609" s="21">
        <f>IFERROR(tb_Auditoria[[#This Row],[VALOR ESPERADO]] / tb_Auditoria[[#This Row],[VALOR CRÉDITO]], 0)</f>
        <v>0</v>
      </c>
      <c r="L609" s="19" t="e">
        <f>SUMIFS([1]!Motor_Comissão[Valor Previsto],[1]!Motor_Comissão[Chave], tb_Auditoria[[#This Row],[Nº CONTRATO]]&amp;"-"&amp;tb_Auditoria[[#This Row],[PARCELA ATUAL]])</f>
        <v>#REF!</v>
      </c>
      <c r="M609" s="19" t="e">
        <f>tb_Auditoria[[#This Row],[VALOR PAGO]] - tb_Auditoria[[#This Row],[VALOR ESPERADO]]</f>
        <v>#REF!</v>
      </c>
      <c r="N6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0" spans="1:15">
      <c r="A610" s="9">
        <v>1156049</v>
      </c>
      <c r="B610" s="10">
        <v>2</v>
      </c>
      <c r="C610" s="28">
        <v>5.1200000000000004E-3</v>
      </c>
      <c r="D610" s="12">
        <f>tb_Auditoria[[#This Row],[% TAXA RELATÓRIO]]*tb_Auditoria[[#This Row],[VALOR CRÉDITO]]</f>
        <v>2048</v>
      </c>
      <c r="E610" s="13">
        <v>46038</v>
      </c>
      <c r="F610" s="13" t="s">
        <v>17</v>
      </c>
      <c r="G61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1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0" s="19">
        <f>IFERROR(INDEX([1]!tb_Vendas[Crédito],MATCH(tb_Auditoria[[#This Row],[Nº CONTRATO]],[1]!tb_Vendas[Nº Contrato],0)),0)</f>
        <v>400000</v>
      </c>
      <c r="K610" s="21">
        <f>IFERROR(tb_Auditoria[[#This Row],[VALOR ESPERADO]] / tb_Auditoria[[#This Row],[VALOR CRÉDITO]], 0)</f>
        <v>0</v>
      </c>
      <c r="L610" s="19" t="e">
        <f>SUMIFS([1]!Motor_Comissão[Valor Previsto],[1]!Motor_Comissão[Chave], tb_Auditoria[[#This Row],[Nº CONTRATO]]&amp;"-"&amp;tb_Auditoria[[#This Row],[PARCELA ATUAL]])</f>
        <v>#REF!</v>
      </c>
      <c r="M610" s="19" t="e">
        <f>tb_Auditoria[[#This Row],[VALOR PAGO]] - tb_Auditoria[[#This Row],[VALOR ESPERADO]]</f>
        <v>#REF!</v>
      </c>
      <c r="N6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1" spans="1:15">
      <c r="A611" s="9">
        <v>1156049</v>
      </c>
      <c r="B611" s="10">
        <v>3</v>
      </c>
      <c r="C611" s="28">
        <v>5.1200000000000004E-3</v>
      </c>
      <c r="D611" s="12">
        <f>tb_Auditoria[[#This Row],[% TAXA RELATÓRIO]]*tb_Auditoria[[#This Row],[VALOR CRÉDITO]]</f>
        <v>2048</v>
      </c>
      <c r="E611" s="13">
        <v>46072</v>
      </c>
      <c r="F611" s="13" t="s">
        <v>17</v>
      </c>
      <c r="G61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1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1" s="19">
        <f>IFERROR(INDEX([1]!tb_Vendas[Crédito],MATCH(tb_Auditoria[[#This Row],[Nº CONTRATO]],[1]!tb_Vendas[Nº Contrato],0)),0)</f>
        <v>400000</v>
      </c>
      <c r="K611" s="21">
        <f>IFERROR(tb_Auditoria[[#This Row],[VALOR ESPERADO]] / tb_Auditoria[[#This Row],[VALOR CRÉDITO]], 0)</f>
        <v>0</v>
      </c>
      <c r="L611" s="19" t="e">
        <f>SUMIFS([1]!Motor_Comissão[Valor Previsto],[1]!Motor_Comissão[Chave], tb_Auditoria[[#This Row],[Nº CONTRATO]]&amp;"-"&amp;tb_Auditoria[[#This Row],[PARCELA ATUAL]])</f>
        <v>#REF!</v>
      </c>
      <c r="M611" s="19" t="e">
        <f>tb_Auditoria[[#This Row],[VALOR PAGO]] - tb_Auditoria[[#This Row],[VALOR ESPERADO]]</f>
        <v>#REF!</v>
      </c>
      <c r="N6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2" spans="1:15">
      <c r="A612" s="9">
        <v>1156049</v>
      </c>
      <c r="B612" s="10">
        <v>5</v>
      </c>
      <c r="C612" s="28">
        <v>5.1200000000000004E-3</v>
      </c>
      <c r="D612" s="12">
        <f>tb_Auditoria[[#This Row],[% TAXA RELATÓRIO]]*tb_Auditoria[[#This Row],[VALOR CRÉDITO]]</f>
        <v>2048</v>
      </c>
      <c r="E612" s="13">
        <v>46129</v>
      </c>
      <c r="F612" s="13" t="s">
        <v>17</v>
      </c>
      <c r="G61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1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2" s="19">
        <f>IFERROR(INDEX([1]!tb_Vendas[Crédito],MATCH(tb_Auditoria[[#This Row],[Nº CONTRATO]],[1]!tb_Vendas[Nº Contrato],0)),0)</f>
        <v>400000</v>
      </c>
      <c r="K612" s="21">
        <f>IFERROR(tb_Auditoria[[#This Row],[VALOR ESPERADO]] / tb_Auditoria[[#This Row],[VALOR CRÉDITO]], 0)</f>
        <v>0</v>
      </c>
      <c r="L612" s="19" t="e">
        <f>SUMIFS([1]!Motor_Comissão[Valor Previsto],[1]!Motor_Comissão[Chave], tb_Auditoria[[#This Row],[Nº CONTRATO]]&amp;"-"&amp;tb_Auditoria[[#This Row],[PARCELA ATUAL]])</f>
        <v>#REF!</v>
      </c>
      <c r="M612" s="19" t="e">
        <f>tb_Auditoria[[#This Row],[VALOR PAGO]] - tb_Auditoria[[#This Row],[VALOR ESPERADO]]</f>
        <v>#REF!</v>
      </c>
      <c r="N6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3" spans="1:15">
      <c r="A613" s="9">
        <v>1156050</v>
      </c>
      <c r="B613" s="10">
        <v>4</v>
      </c>
      <c r="C613" s="28">
        <v>5.1200000000000004E-3</v>
      </c>
      <c r="D613" s="12">
        <f>tb_Auditoria[[#This Row],[% TAXA RELATÓRIO]]*tb_Auditoria[[#This Row],[VALOR CRÉDITO]]</f>
        <v>2048</v>
      </c>
      <c r="E613" s="13">
        <v>46100</v>
      </c>
      <c r="F613" s="13" t="s">
        <v>17</v>
      </c>
      <c r="G61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1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3" s="19">
        <f>IFERROR(INDEX([1]!tb_Vendas[Crédito],MATCH(tb_Auditoria[[#This Row],[Nº CONTRATO]],[1]!tb_Vendas[Nº Contrato],0)),0)</f>
        <v>400000</v>
      </c>
      <c r="K613" s="21">
        <f>IFERROR(tb_Auditoria[[#This Row],[VALOR ESPERADO]] / tb_Auditoria[[#This Row],[VALOR CRÉDITO]], 0)</f>
        <v>0</v>
      </c>
      <c r="L613" s="19" t="e">
        <f>SUMIFS([1]!Motor_Comissão[Valor Previsto],[1]!Motor_Comissão[Chave], tb_Auditoria[[#This Row],[Nº CONTRATO]]&amp;"-"&amp;tb_Auditoria[[#This Row],[PARCELA ATUAL]])</f>
        <v>#REF!</v>
      </c>
      <c r="M613" s="19" t="e">
        <f>tb_Auditoria[[#This Row],[VALOR PAGO]] - tb_Auditoria[[#This Row],[VALOR ESPERADO]]</f>
        <v>#REF!</v>
      </c>
      <c r="N6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4" spans="1:15">
      <c r="A614" s="9">
        <v>1156050</v>
      </c>
      <c r="B614" s="10">
        <v>6</v>
      </c>
      <c r="C614" s="28">
        <v>5.1200000000000004E-3</v>
      </c>
      <c r="D614" s="12">
        <f>tb_Auditoria[[#This Row],[% TAXA RELATÓRIO]]*tb_Auditoria[[#This Row],[VALOR CRÉDITO]]</f>
        <v>2048</v>
      </c>
      <c r="E614" s="13">
        <v>46161</v>
      </c>
      <c r="F614" s="13" t="s">
        <v>17</v>
      </c>
      <c r="G61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1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4" s="19">
        <f>IFERROR(INDEX([1]!tb_Vendas[Crédito],MATCH(tb_Auditoria[[#This Row],[Nº CONTRATO]],[1]!tb_Vendas[Nº Contrato],0)),0)</f>
        <v>400000</v>
      </c>
      <c r="K614" s="21">
        <f>IFERROR(tb_Auditoria[[#This Row],[VALOR ESPERADO]] / tb_Auditoria[[#This Row],[VALOR CRÉDITO]], 0)</f>
        <v>0</v>
      </c>
      <c r="L614" s="19" t="e">
        <f>SUMIFS([1]!Motor_Comissão[Valor Previsto],[1]!Motor_Comissão[Chave], tb_Auditoria[[#This Row],[Nº CONTRATO]]&amp;"-"&amp;tb_Auditoria[[#This Row],[PARCELA ATUAL]])</f>
        <v>#REF!</v>
      </c>
      <c r="M614" s="19" t="e">
        <f>tb_Auditoria[[#This Row],[VALOR PAGO]] - tb_Auditoria[[#This Row],[VALOR ESPERADO]]</f>
        <v>#REF!</v>
      </c>
      <c r="N6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5" spans="1:15">
      <c r="A615" s="9">
        <v>1156050</v>
      </c>
      <c r="B615" s="10">
        <v>1</v>
      </c>
      <c r="C615" s="28">
        <v>5.1200000000000004E-3</v>
      </c>
      <c r="D615" s="12">
        <f>tb_Auditoria[[#This Row],[% TAXA RELATÓRIO]]*tb_Auditoria[[#This Row],[VALOR CRÉDITO]]</f>
        <v>2048</v>
      </c>
      <c r="E615" s="13">
        <v>46008</v>
      </c>
      <c r="F615" s="13" t="s">
        <v>17</v>
      </c>
      <c r="G61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1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5" s="19">
        <f>IFERROR(INDEX([1]!tb_Vendas[Crédito],MATCH(tb_Auditoria[[#This Row],[Nº CONTRATO]],[1]!tb_Vendas[Nº Contrato],0)),0)</f>
        <v>400000</v>
      </c>
      <c r="K615" s="21">
        <f>IFERROR(tb_Auditoria[[#This Row],[VALOR ESPERADO]] / tb_Auditoria[[#This Row],[VALOR CRÉDITO]], 0)</f>
        <v>0</v>
      </c>
      <c r="L615" s="19" t="e">
        <f>SUMIFS([1]!Motor_Comissão[Valor Previsto],[1]!Motor_Comissão[Chave], tb_Auditoria[[#This Row],[Nº CONTRATO]]&amp;"-"&amp;tb_Auditoria[[#This Row],[PARCELA ATUAL]])</f>
        <v>#REF!</v>
      </c>
      <c r="M615" s="19" t="e">
        <f>tb_Auditoria[[#This Row],[VALOR PAGO]] - tb_Auditoria[[#This Row],[VALOR ESPERADO]]</f>
        <v>#REF!</v>
      </c>
      <c r="N6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6" spans="1:15">
      <c r="A616" s="9">
        <v>1156050</v>
      </c>
      <c r="B616" s="10">
        <v>2</v>
      </c>
      <c r="C616" s="28">
        <v>5.1200000000000004E-3</v>
      </c>
      <c r="D616" s="12">
        <f>tb_Auditoria[[#This Row],[% TAXA RELATÓRIO]]*tb_Auditoria[[#This Row],[VALOR CRÉDITO]]</f>
        <v>2048</v>
      </c>
      <c r="E616" s="13">
        <v>46038</v>
      </c>
      <c r="F616" s="13" t="s">
        <v>17</v>
      </c>
      <c r="G61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1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6" s="19">
        <f>IFERROR(INDEX([1]!tb_Vendas[Crédito],MATCH(tb_Auditoria[[#This Row],[Nº CONTRATO]],[1]!tb_Vendas[Nº Contrato],0)),0)</f>
        <v>400000</v>
      </c>
      <c r="K616" s="21">
        <f>IFERROR(tb_Auditoria[[#This Row],[VALOR ESPERADO]] / tb_Auditoria[[#This Row],[VALOR CRÉDITO]], 0)</f>
        <v>0</v>
      </c>
      <c r="L616" s="19" t="e">
        <f>SUMIFS([1]!Motor_Comissão[Valor Previsto],[1]!Motor_Comissão[Chave], tb_Auditoria[[#This Row],[Nº CONTRATO]]&amp;"-"&amp;tb_Auditoria[[#This Row],[PARCELA ATUAL]])</f>
        <v>#REF!</v>
      </c>
      <c r="M616" s="19" t="e">
        <f>tb_Auditoria[[#This Row],[VALOR PAGO]] - tb_Auditoria[[#This Row],[VALOR ESPERADO]]</f>
        <v>#REF!</v>
      </c>
      <c r="N6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7" spans="1:15">
      <c r="A617" s="9">
        <v>1156050</v>
      </c>
      <c r="B617" s="10">
        <v>3</v>
      </c>
      <c r="C617" s="28">
        <v>5.1200000000000004E-3</v>
      </c>
      <c r="D617" s="12">
        <f>tb_Auditoria[[#This Row],[% TAXA RELATÓRIO]]*tb_Auditoria[[#This Row],[VALOR CRÉDITO]]</f>
        <v>2048</v>
      </c>
      <c r="E617" s="13">
        <v>46072</v>
      </c>
      <c r="F617" s="13" t="s">
        <v>17</v>
      </c>
      <c r="G61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1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7" s="19">
        <f>IFERROR(INDEX([1]!tb_Vendas[Crédito],MATCH(tb_Auditoria[[#This Row],[Nº CONTRATO]],[1]!tb_Vendas[Nº Contrato],0)),0)</f>
        <v>400000</v>
      </c>
      <c r="K617" s="21">
        <f>IFERROR(tb_Auditoria[[#This Row],[VALOR ESPERADO]] / tb_Auditoria[[#This Row],[VALOR CRÉDITO]], 0)</f>
        <v>0</v>
      </c>
      <c r="L617" s="19" t="e">
        <f>SUMIFS([1]!Motor_Comissão[Valor Previsto],[1]!Motor_Comissão[Chave], tb_Auditoria[[#This Row],[Nº CONTRATO]]&amp;"-"&amp;tb_Auditoria[[#This Row],[PARCELA ATUAL]])</f>
        <v>#REF!</v>
      </c>
      <c r="M617" s="19" t="e">
        <f>tb_Auditoria[[#This Row],[VALOR PAGO]] - tb_Auditoria[[#This Row],[VALOR ESPERADO]]</f>
        <v>#REF!</v>
      </c>
      <c r="N6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8" spans="1:15">
      <c r="A618" s="9">
        <v>1156050</v>
      </c>
      <c r="B618" s="10">
        <v>5</v>
      </c>
      <c r="C618" s="28">
        <v>5.1200000000000004E-3</v>
      </c>
      <c r="D618" s="12">
        <f>tb_Auditoria[[#This Row],[% TAXA RELATÓRIO]]*tb_Auditoria[[#This Row],[VALOR CRÉDITO]]</f>
        <v>2048</v>
      </c>
      <c r="E618" s="13">
        <v>46129</v>
      </c>
      <c r="F618" s="13" t="s">
        <v>17</v>
      </c>
      <c r="G61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1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8" s="19">
        <f>IFERROR(INDEX([1]!tb_Vendas[Crédito],MATCH(tb_Auditoria[[#This Row],[Nº CONTRATO]],[1]!tb_Vendas[Nº Contrato],0)),0)</f>
        <v>400000</v>
      </c>
      <c r="K618" s="21">
        <f>IFERROR(tb_Auditoria[[#This Row],[VALOR ESPERADO]] / tb_Auditoria[[#This Row],[VALOR CRÉDITO]], 0)</f>
        <v>0</v>
      </c>
      <c r="L618" s="19" t="e">
        <f>SUMIFS([1]!Motor_Comissão[Valor Previsto],[1]!Motor_Comissão[Chave], tb_Auditoria[[#This Row],[Nº CONTRATO]]&amp;"-"&amp;tb_Auditoria[[#This Row],[PARCELA ATUAL]])</f>
        <v>#REF!</v>
      </c>
      <c r="M618" s="19" t="e">
        <f>tb_Auditoria[[#This Row],[VALOR PAGO]] - tb_Auditoria[[#This Row],[VALOR ESPERADO]]</f>
        <v>#REF!</v>
      </c>
      <c r="N6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19" spans="1:15">
      <c r="A619" s="9">
        <v>1156055</v>
      </c>
      <c r="B619" s="10">
        <v>4</v>
      </c>
      <c r="C619" s="28">
        <v>5.1200000000000004E-3</v>
      </c>
      <c r="D619" s="12">
        <f>tb_Auditoria[[#This Row],[% TAXA RELATÓRIO]]*tb_Auditoria[[#This Row],[VALOR CRÉDITO]]</f>
        <v>2048</v>
      </c>
      <c r="E619" s="13">
        <v>46100</v>
      </c>
      <c r="F619" s="13" t="s">
        <v>17</v>
      </c>
      <c r="G61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1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1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19" s="19">
        <f>IFERROR(INDEX([1]!tb_Vendas[Crédito],MATCH(tb_Auditoria[[#This Row],[Nº CONTRATO]],[1]!tb_Vendas[Nº Contrato],0)),0)</f>
        <v>400000</v>
      </c>
      <c r="K619" s="21">
        <f>IFERROR(tb_Auditoria[[#This Row],[VALOR ESPERADO]] / tb_Auditoria[[#This Row],[VALOR CRÉDITO]], 0)</f>
        <v>0</v>
      </c>
      <c r="L619" s="19" t="e">
        <f>SUMIFS([1]!Motor_Comissão[Valor Previsto],[1]!Motor_Comissão[Chave], tb_Auditoria[[#This Row],[Nº CONTRATO]]&amp;"-"&amp;tb_Auditoria[[#This Row],[PARCELA ATUAL]])</f>
        <v>#REF!</v>
      </c>
      <c r="M619" s="19" t="e">
        <f>tb_Auditoria[[#This Row],[VALOR PAGO]] - tb_Auditoria[[#This Row],[VALOR ESPERADO]]</f>
        <v>#REF!</v>
      </c>
      <c r="N6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0" spans="1:15">
      <c r="A620" s="9">
        <v>1156055</v>
      </c>
      <c r="B620" s="10">
        <v>6</v>
      </c>
      <c r="C620" s="28">
        <v>5.1200000000000004E-3</v>
      </c>
      <c r="D620" s="12">
        <f>tb_Auditoria[[#This Row],[% TAXA RELATÓRIO]]*tb_Auditoria[[#This Row],[VALOR CRÉDITO]]</f>
        <v>2048</v>
      </c>
      <c r="E620" s="13">
        <v>46161</v>
      </c>
      <c r="F620" s="13" t="s">
        <v>17</v>
      </c>
      <c r="G62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2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0" s="19">
        <f>IFERROR(INDEX([1]!tb_Vendas[Crédito],MATCH(tb_Auditoria[[#This Row],[Nº CONTRATO]],[1]!tb_Vendas[Nº Contrato],0)),0)</f>
        <v>400000</v>
      </c>
      <c r="K620" s="21">
        <f>IFERROR(tb_Auditoria[[#This Row],[VALOR ESPERADO]] / tb_Auditoria[[#This Row],[VALOR CRÉDITO]], 0)</f>
        <v>0</v>
      </c>
      <c r="L620" s="19" t="e">
        <f>SUMIFS([1]!Motor_Comissão[Valor Previsto],[1]!Motor_Comissão[Chave], tb_Auditoria[[#This Row],[Nº CONTRATO]]&amp;"-"&amp;tb_Auditoria[[#This Row],[PARCELA ATUAL]])</f>
        <v>#REF!</v>
      </c>
      <c r="M620" s="19" t="e">
        <f>tb_Auditoria[[#This Row],[VALOR PAGO]] - tb_Auditoria[[#This Row],[VALOR ESPERADO]]</f>
        <v>#REF!</v>
      </c>
      <c r="N6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1" spans="1:15">
      <c r="A621" s="9">
        <v>1156055</v>
      </c>
      <c r="B621" s="10">
        <v>1</v>
      </c>
      <c r="C621" s="28">
        <v>5.1200000000000004E-3</v>
      </c>
      <c r="D621" s="12">
        <f>tb_Auditoria[[#This Row],[% TAXA RELATÓRIO]]*tb_Auditoria[[#This Row],[VALOR CRÉDITO]]</f>
        <v>2048</v>
      </c>
      <c r="E621" s="13">
        <v>46008</v>
      </c>
      <c r="F621" s="13" t="s">
        <v>17</v>
      </c>
      <c r="G62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2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1" s="19">
        <f>IFERROR(INDEX([1]!tb_Vendas[Crédito],MATCH(tb_Auditoria[[#This Row],[Nº CONTRATO]],[1]!tb_Vendas[Nº Contrato],0)),0)</f>
        <v>400000</v>
      </c>
      <c r="K621" s="21">
        <f>IFERROR(tb_Auditoria[[#This Row],[VALOR ESPERADO]] / tb_Auditoria[[#This Row],[VALOR CRÉDITO]], 0)</f>
        <v>0</v>
      </c>
      <c r="L621" s="19" t="e">
        <f>SUMIFS([1]!Motor_Comissão[Valor Previsto],[1]!Motor_Comissão[Chave], tb_Auditoria[[#This Row],[Nº CONTRATO]]&amp;"-"&amp;tb_Auditoria[[#This Row],[PARCELA ATUAL]])</f>
        <v>#REF!</v>
      </c>
      <c r="M621" s="19" t="e">
        <f>tb_Auditoria[[#This Row],[VALOR PAGO]] - tb_Auditoria[[#This Row],[VALOR ESPERADO]]</f>
        <v>#REF!</v>
      </c>
      <c r="N6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2" spans="1:15">
      <c r="A622" s="9">
        <v>1156055</v>
      </c>
      <c r="B622" s="10">
        <v>2</v>
      </c>
      <c r="C622" s="28">
        <v>5.1200000000000004E-3</v>
      </c>
      <c r="D622" s="12">
        <f>tb_Auditoria[[#This Row],[% TAXA RELATÓRIO]]*tb_Auditoria[[#This Row],[VALOR CRÉDITO]]</f>
        <v>2048</v>
      </c>
      <c r="E622" s="13">
        <v>46038</v>
      </c>
      <c r="F622" s="13" t="s">
        <v>17</v>
      </c>
      <c r="G62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2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2" s="19">
        <f>IFERROR(INDEX([1]!tb_Vendas[Crédito],MATCH(tb_Auditoria[[#This Row],[Nº CONTRATO]],[1]!tb_Vendas[Nº Contrato],0)),0)</f>
        <v>400000</v>
      </c>
      <c r="K622" s="21">
        <f>IFERROR(tb_Auditoria[[#This Row],[VALOR ESPERADO]] / tb_Auditoria[[#This Row],[VALOR CRÉDITO]], 0)</f>
        <v>0</v>
      </c>
      <c r="L622" s="19" t="e">
        <f>SUMIFS([1]!Motor_Comissão[Valor Previsto],[1]!Motor_Comissão[Chave], tb_Auditoria[[#This Row],[Nº CONTRATO]]&amp;"-"&amp;tb_Auditoria[[#This Row],[PARCELA ATUAL]])</f>
        <v>#REF!</v>
      </c>
      <c r="M622" s="19" t="e">
        <f>tb_Auditoria[[#This Row],[VALOR PAGO]] - tb_Auditoria[[#This Row],[VALOR ESPERADO]]</f>
        <v>#REF!</v>
      </c>
      <c r="N6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3" spans="1:15">
      <c r="A623" s="9">
        <v>1156055</v>
      </c>
      <c r="B623" s="10">
        <v>3</v>
      </c>
      <c r="C623" s="28">
        <v>5.1200000000000004E-3</v>
      </c>
      <c r="D623" s="12">
        <f>tb_Auditoria[[#This Row],[% TAXA RELATÓRIO]]*tb_Auditoria[[#This Row],[VALOR CRÉDITO]]</f>
        <v>2048</v>
      </c>
      <c r="E623" s="13">
        <v>46072</v>
      </c>
      <c r="F623" s="13" t="s">
        <v>17</v>
      </c>
      <c r="G62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2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3" s="19">
        <f>IFERROR(INDEX([1]!tb_Vendas[Crédito],MATCH(tb_Auditoria[[#This Row],[Nº CONTRATO]],[1]!tb_Vendas[Nº Contrato],0)),0)</f>
        <v>400000</v>
      </c>
      <c r="K623" s="21">
        <f>IFERROR(tb_Auditoria[[#This Row],[VALOR ESPERADO]] / tb_Auditoria[[#This Row],[VALOR CRÉDITO]], 0)</f>
        <v>0</v>
      </c>
      <c r="L623" s="19" t="e">
        <f>SUMIFS([1]!Motor_Comissão[Valor Previsto],[1]!Motor_Comissão[Chave], tb_Auditoria[[#This Row],[Nº CONTRATO]]&amp;"-"&amp;tb_Auditoria[[#This Row],[PARCELA ATUAL]])</f>
        <v>#REF!</v>
      </c>
      <c r="M623" s="19" t="e">
        <f>tb_Auditoria[[#This Row],[VALOR PAGO]] - tb_Auditoria[[#This Row],[VALOR ESPERADO]]</f>
        <v>#REF!</v>
      </c>
      <c r="N6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4" spans="1:15">
      <c r="A624" s="9">
        <v>1156055</v>
      </c>
      <c r="B624" s="10">
        <v>5</v>
      </c>
      <c r="C624" s="28">
        <v>5.1200000000000004E-3</v>
      </c>
      <c r="D624" s="12">
        <f>tb_Auditoria[[#This Row],[% TAXA RELATÓRIO]]*tb_Auditoria[[#This Row],[VALOR CRÉDITO]]</f>
        <v>2048</v>
      </c>
      <c r="E624" s="13">
        <v>46129</v>
      </c>
      <c r="F624" s="13" t="s">
        <v>17</v>
      </c>
      <c r="G62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2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4" s="19">
        <f>IFERROR(INDEX([1]!tb_Vendas[Crédito],MATCH(tb_Auditoria[[#This Row],[Nº CONTRATO]],[1]!tb_Vendas[Nº Contrato],0)),0)</f>
        <v>400000</v>
      </c>
      <c r="K624" s="21">
        <f>IFERROR(tb_Auditoria[[#This Row],[VALOR ESPERADO]] / tb_Auditoria[[#This Row],[VALOR CRÉDITO]], 0)</f>
        <v>0</v>
      </c>
      <c r="L624" s="19" t="e">
        <f>SUMIFS([1]!Motor_Comissão[Valor Previsto],[1]!Motor_Comissão[Chave], tb_Auditoria[[#This Row],[Nº CONTRATO]]&amp;"-"&amp;tb_Auditoria[[#This Row],[PARCELA ATUAL]])</f>
        <v>#REF!</v>
      </c>
      <c r="M624" s="19" t="e">
        <f>tb_Auditoria[[#This Row],[VALOR PAGO]] - tb_Auditoria[[#This Row],[VALOR ESPERADO]]</f>
        <v>#REF!</v>
      </c>
      <c r="N6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5" spans="1:15">
      <c r="A625" s="9">
        <v>1156059</v>
      </c>
      <c r="B625" s="10">
        <v>4</v>
      </c>
      <c r="C625" s="28">
        <v>5.1200000000000004E-3</v>
      </c>
      <c r="D625" s="12">
        <f>tb_Auditoria[[#This Row],[% TAXA RELATÓRIO]]*tb_Auditoria[[#This Row],[VALOR CRÉDITO]]</f>
        <v>2048</v>
      </c>
      <c r="E625" s="13">
        <v>46100</v>
      </c>
      <c r="F625" s="13" t="s">
        <v>17</v>
      </c>
      <c r="G62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2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5" s="19">
        <f>IFERROR(INDEX([1]!tb_Vendas[Crédito],MATCH(tb_Auditoria[[#This Row],[Nº CONTRATO]],[1]!tb_Vendas[Nº Contrato],0)),0)</f>
        <v>400000</v>
      </c>
      <c r="K625" s="21">
        <f>IFERROR(tb_Auditoria[[#This Row],[VALOR ESPERADO]] / tb_Auditoria[[#This Row],[VALOR CRÉDITO]], 0)</f>
        <v>0</v>
      </c>
      <c r="L625" s="19" t="e">
        <f>SUMIFS([1]!Motor_Comissão[Valor Previsto],[1]!Motor_Comissão[Chave], tb_Auditoria[[#This Row],[Nº CONTRATO]]&amp;"-"&amp;tb_Auditoria[[#This Row],[PARCELA ATUAL]])</f>
        <v>#REF!</v>
      </c>
      <c r="M625" s="19" t="e">
        <f>tb_Auditoria[[#This Row],[VALOR PAGO]] - tb_Auditoria[[#This Row],[VALOR ESPERADO]]</f>
        <v>#REF!</v>
      </c>
      <c r="N6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6" spans="1:15">
      <c r="A626" s="9">
        <v>1156059</v>
      </c>
      <c r="B626" s="10">
        <v>6</v>
      </c>
      <c r="C626" s="28">
        <v>5.1200000000000004E-3</v>
      </c>
      <c r="D626" s="12">
        <f>tb_Auditoria[[#This Row],[% TAXA RELATÓRIO]]*tb_Auditoria[[#This Row],[VALOR CRÉDITO]]</f>
        <v>2048</v>
      </c>
      <c r="E626" s="13">
        <v>46161</v>
      </c>
      <c r="F626" s="13" t="s">
        <v>17</v>
      </c>
      <c r="G62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2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6" s="19">
        <f>IFERROR(INDEX([1]!tb_Vendas[Crédito],MATCH(tb_Auditoria[[#This Row],[Nº CONTRATO]],[1]!tb_Vendas[Nº Contrato],0)),0)</f>
        <v>400000</v>
      </c>
      <c r="K626" s="21">
        <f>IFERROR(tb_Auditoria[[#This Row],[VALOR ESPERADO]] / tb_Auditoria[[#This Row],[VALOR CRÉDITO]], 0)</f>
        <v>0</v>
      </c>
      <c r="L626" s="19" t="e">
        <f>SUMIFS([1]!Motor_Comissão[Valor Previsto],[1]!Motor_Comissão[Chave], tb_Auditoria[[#This Row],[Nº CONTRATO]]&amp;"-"&amp;tb_Auditoria[[#This Row],[PARCELA ATUAL]])</f>
        <v>#REF!</v>
      </c>
      <c r="M626" s="19" t="e">
        <f>tb_Auditoria[[#This Row],[VALOR PAGO]] - tb_Auditoria[[#This Row],[VALOR ESPERADO]]</f>
        <v>#REF!</v>
      </c>
      <c r="N6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7" spans="1:15">
      <c r="A627" s="9">
        <v>1156059</v>
      </c>
      <c r="B627" s="10">
        <v>1</v>
      </c>
      <c r="C627" s="28">
        <v>5.1200000000000004E-3</v>
      </c>
      <c r="D627" s="12">
        <f>tb_Auditoria[[#This Row],[% TAXA RELATÓRIO]]*tb_Auditoria[[#This Row],[VALOR CRÉDITO]]</f>
        <v>2048</v>
      </c>
      <c r="E627" s="13">
        <v>46008</v>
      </c>
      <c r="F627" s="13" t="s">
        <v>17</v>
      </c>
      <c r="G62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2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7" s="19">
        <f>IFERROR(INDEX([1]!tb_Vendas[Crédito],MATCH(tb_Auditoria[[#This Row],[Nº CONTRATO]],[1]!tb_Vendas[Nº Contrato],0)),0)</f>
        <v>400000</v>
      </c>
      <c r="K627" s="21">
        <f>IFERROR(tb_Auditoria[[#This Row],[VALOR ESPERADO]] / tb_Auditoria[[#This Row],[VALOR CRÉDITO]], 0)</f>
        <v>0</v>
      </c>
      <c r="L627" s="19" t="e">
        <f>SUMIFS([1]!Motor_Comissão[Valor Previsto],[1]!Motor_Comissão[Chave], tb_Auditoria[[#This Row],[Nº CONTRATO]]&amp;"-"&amp;tb_Auditoria[[#This Row],[PARCELA ATUAL]])</f>
        <v>#REF!</v>
      </c>
      <c r="M627" s="19" t="e">
        <f>tb_Auditoria[[#This Row],[VALOR PAGO]] - tb_Auditoria[[#This Row],[VALOR ESPERADO]]</f>
        <v>#REF!</v>
      </c>
      <c r="N6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8" spans="1:15">
      <c r="A628" s="9">
        <v>1156059</v>
      </c>
      <c r="B628" s="10">
        <v>2</v>
      </c>
      <c r="C628" s="28">
        <v>5.1200000000000004E-3</v>
      </c>
      <c r="D628" s="12">
        <f>tb_Auditoria[[#This Row],[% TAXA RELATÓRIO]]*tb_Auditoria[[#This Row],[VALOR CRÉDITO]]</f>
        <v>2048</v>
      </c>
      <c r="E628" s="13">
        <v>46038</v>
      </c>
      <c r="F628" s="13" t="s">
        <v>17</v>
      </c>
      <c r="G62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2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8" s="19">
        <f>IFERROR(INDEX([1]!tb_Vendas[Crédito],MATCH(tb_Auditoria[[#This Row],[Nº CONTRATO]],[1]!tb_Vendas[Nº Contrato],0)),0)</f>
        <v>400000</v>
      </c>
      <c r="K628" s="21">
        <f>IFERROR(tb_Auditoria[[#This Row],[VALOR ESPERADO]] / tb_Auditoria[[#This Row],[VALOR CRÉDITO]], 0)</f>
        <v>0</v>
      </c>
      <c r="L628" s="19" t="e">
        <f>SUMIFS([1]!Motor_Comissão[Valor Previsto],[1]!Motor_Comissão[Chave], tb_Auditoria[[#This Row],[Nº CONTRATO]]&amp;"-"&amp;tb_Auditoria[[#This Row],[PARCELA ATUAL]])</f>
        <v>#REF!</v>
      </c>
      <c r="M628" s="19" t="e">
        <f>tb_Auditoria[[#This Row],[VALOR PAGO]] - tb_Auditoria[[#This Row],[VALOR ESPERADO]]</f>
        <v>#REF!</v>
      </c>
      <c r="N6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29" spans="1:15">
      <c r="A629" s="9">
        <v>1156059</v>
      </c>
      <c r="B629" s="10">
        <v>3</v>
      </c>
      <c r="C629" s="28">
        <v>5.1200000000000004E-3</v>
      </c>
      <c r="D629" s="12">
        <f>tb_Auditoria[[#This Row],[% TAXA RELATÓRIO]]*tb_Auditoria[[#This Row],[VALOR CRÉDITO]]</f>
        <v>2048</v>
      </c>
      <c r="E629" s="13">
        <v>46072</v>
      </c>
      <c r="F629" s="13" t="s">
        <v>17</v>
      </c>
      <c r="G62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2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2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29" s="19">
        <f>IFERROR(INDEX([1]!tb_Vendas[Crédito],MATCH(tb_Auditoria[[#This Row],[Nº CONTRATO]],[1]!tb_Vendas[Nº Contrato],0)),0)</f>
        <v>400000</v>
      </c>
      <c r="K629" s="21">
        <f>IFERROR(tb_Auditoria[[#This Row],[VALOR ESPERADO]] / tb_Auditoria[[#This Row],[VALOR CRÉDITO]], 0)</f>
        <v>0</v>
      </c>
      <c r="L629" s="19" t="e">
        <f>SUMIFS([1]!Motor_Comissão[Valor Previsto],[1]!Motor_Comissão[Chave], tb_Auditoria[[#This Row],[Nº CONTRATO]]&amp;"-"&amp;tb_Auditoria[[#This Row],[PARCELA ATUAL]])</f>
        <v>#REF!</v>
      </c>
      <c r="M629" s="19" t="e">
        <f>tb_Auditoria[[#This Row],[VALOR PAGO]] - tb_Auditoria[[#This Row],[VALOR ESPERADO]]</f>
        <v>#REF!</v>
      </c>
      <c r="N6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0" spans="1:15">
      <c r="A630" s="9">
        <v>1156059</v>
      </c>
      <c r="B630" s="10">
        <v>5</v>
      </c>
      <c r="C630" s="28">
        <v>5.1200000000000004E-3</v>
      </c>
      <c r="D630" s="12">
        <f>tb_Auditoria[[#This Row],[% TAXA RELATÓRIO]]*tb_Auditoria[[#This Row],[VALOR CRÉDITO]]</f>
        <v>2048</v>
      </c>
      <c r="E630" s="13">
        <v>46129</v>
      </c>
      <c r="F630" s="13" t="s">
        <v>17</v>
      </c>
      <c r="G63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3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0" s="19">
        <f>IFERROR(INDEX([1]!tb_Vendas[Crédito],MATCH(tb_Auditoria[[#This Row],[Nº CONTRATO]],[1]!tb_Vendas[Nº Contrato],0)),0)</f>
        <v>400000</v>
      </c>
      <c r="K630" s="21">
        <f>IFERROR(tb_Auditoria[[#This Row],[VALOR ESPERADO]] / tb_Auditoria[[#This Row],[VALOR CRÉDITO]], 0)</f>
        <v>0</v>
      </c>
      <c r="L630" s="19" t="e">
        <f>SUMIFS([1]!Motor_Comissão[Valor Previsto],[1]!Motor_Comissão[Chave], tb_Auditoria[[#This Row],[Nº CONTRATO]]&amp;"-"&amp;tb_Auditoria[[#This Row],[PARCELA ATUAL]])</f>
        <v>#REF!</v>
      </c>
      <c r="M630" s="19" t="e">
        <f>tb_Auditoria[[#This Row],[VALOR PAGO]] - tb_Auditoria[[#This Row],[VALOR ESPERADO]]</f>
        <v>#REF!</v>
      </c>
      <c r="N6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1" spans="1:15">
      <c r="A631" s="9">
        <v>1156060</v>
      </c>
      <c r="B631" s="10">
        <v>4</v>
      </c>
      <c r="C631" s="28">
        <v>5.1200000000000004E-3</v>
      </c>
      <c r="D631" s="12">
        <f>tb_Auditoria[[#This Row],[% TAXA RELATÓRIO]]*tb_Auditoria[[#This Row],[VALOR CRÉDITO]]</f>
        <v>2048</v>
      </c>
      <c r="E631" s="13">
        <v>46100</v>
      </c>
      <c r="F631" s="13" t="s">
        <v>17</v>
      </c>
      <c r="G63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3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1" s="19">
        <f>IFERROR(INDEX([1]!tb_Vendas[Crédito],MATCH(tb_Auditoria[[#This Row],[Nº CONTRATO]],[1]!tb_Vendas[Nº Contrato],0)),0)</f>
        <v>400000</v>
      </c>
      <c r="K631" s="21">
        <f>IFERROR(tb_Auditoria[[#This Row],[VALOR ESPERADO]] / tb_Auditoria[[#This Row],[VALOR CRÉDITO]], 0)</f>
        <v>0</v>
      </c>
      <c r="L631" s="19" t="e">
        <f>SUMIFS([1]!Motor_Comissão[Valor Previsto],[1]!Motor_Comissão[Chave], tb_Auditoria[[#This Row],[Nº CONTRATO]]&amp;"-"&amp;tb_Auditoria[[#This Row],[PARCELA ATUAL]])</f>
        <v>#REF!</v>
      </c>
      <c r="M631" s="19" t="e">
        <f>tb_Auditoria[[#This Row],[VALOR PAGO]] - tb_Auditoria[[#This Row],[VALOR ESPERADO]]</f>
        <v>#REF!</v>
      </c>
      <c r="N6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2" spans="1:15">
      <c r="A632" s="9">
        <v>1156060</v>
      </c>
      <c r="B632" s="10">
        <v>6</v>
      </c>
      <c r="C632" s="28">
        <v>5.1200000000000004E-3</v>
      </c>
      <c r="D632" s="12">
        <f>tb_Auditoria[[#This Row],[% TAXA RELATÓRIO]]*tb_Auditoria[[#This Row],[VALOR CRÉDITO]]</f>
        <v>2048</v>
      </c>
      <c r="E632" s="13">
        <v>46161</v>
      </c>
      <c r="F632" s="13" t="s">
        <v>17</v>
      </c>
      <c r="G63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3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2" s="19">
        <f>IFERROR(INDEX([1]!tb_Vendas[Crédito],MATCH(tb_Auditoria[[#This Row],[Nº CONTRATO]],[1]!tb_Vendas[Nº Contrato],0)),0)</f>
        <v>400000</v>
      </c>
      <c r="K632" s="21">
        <f>IFERROR(tb_Auditoria[[#This Row],[VALOR ESPERADO]] / tb_Auditoria[[#This Row],[VALOR CRÉDITO]], 0)</f>
        <v>0</v>
      </c>
      <c r="L632" s="19" t="e">
        <f>SUMIFS([1]!Motor_Comissão[Valor Previsto],[1]!Motor_Comissão[Chave], tb_Auditoria[[#This Row],[Nº CONTRATO]]&amp;"-"&amp;tb_Auditoria[[#This Row],[PARCELA ATUAL]])</f>
        <v>#REF!</v>
      </c>
      <c r="M632" s="19" t="e">
        <f>tb_Auditoria[[#This Row],[VALOR PAGO]] - tb_Auditoria[[#This Row],[VALOR ESPERADO]]</f>
        <v>#REF!</v>
      </c>
      <c r="N6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3" spans="1:15">
      <c r="A633" s="9">
        <v>1156060</v>
      </c>
      <c r="B633" s="10">
        <v>1</v>
      </c>
      <c r="C633" s="28">
        <v>5.1200000000000004E-3</v>
      </c>
      <c r="D633" s="12">
        <f>tb_Auditoria[[#This Row],[% TAXA RELATÓRIO]]*tb_Auditoria[[#This Row],[VALOR CRÉDITO]]</f>
        <v>2048</v>
      </c>
      <c r="E633" s="13">
        <v>46008</v>
      </c>
      <c r="F633" s="13" t="s">
        <v>17</v>
      </c>
      <c r="G63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3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3" s="19">
        <f>IFERROR(INDEX([1]!tb_Vendas[Crédito],MATCH(tb_Auditoria[[#This Row],[Nº CONTRATO]],[1]!tb_Vendas[Nº Contrato],0)),0)</f>
        <v>400000</v>
      </c>
      <c r="K633" s="21">
        <f>IFERROR(tb_Auditoria[[#This Row],[VALOR ESPERADO]] / tb_Auditoria[[#This Row],[VALOR CRÉDITO]], 0)</f>
        <v>0</v>
      </c>
      <c r="L633" s="19" t="e">
        <f>SUMIFS([1]!Motor_Comissão[Valor Previsto],[1]!Motor_Comissão[Chave], tb_Auditoria[[#This Row],[Nº CONTRATO]]&amp;"-"&amp;tb_Auditoria[[#This Row],[PARCELA ATUAL]])</f>
        <v>#REF!</v>
      </c>
      <c r="M633" s="19" t="e">
        <f>tb_Auditoria[[#This Row],[VALOR PAGO]] - tb_Auditoria[[#This Row],[VALOR ESPERADO]]</f>
        <v>#REF!</v>
      </c>
      <c r="N6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4" spans="1:15">
      <c r="A634" s="9">
        <v>1156060</v>
      </c>
      <c r="B634" s="10">
        <v>2</v>
      </c>
      <c r="C634" s="28">
        <v>5.1200000000000004E-3</v>
      </c>
      <c r="D634" s="12">
        <f>tb_Auditoria[[#This Row],[% TAXA RELATÓRIO]]*tb_Auditoria[[#This Row],[VALOR CRÉDITO]]</f>
        <v>2048</v>
      </c>
      <c r="E634" s="13">
        <v>46038</v>
      </c>
      <c r="F634" s="13" t="s">
        <v>17</v>
      </c>
      <c r="G63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3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4" s="19">
        <f>IFERROR(INDEX([1]!tb_Vendas[Crédito],MATCH(tb_Auditoria[[#This Row],[Nº CONTRATO]],[1]!tb_Vendas[Nº Contrato],0)),0)</f>
        <v>400000</v>
      </c>
      <c r="K634" s="21">
        <f>IFERROR(tb_Auditoria[[#This Row],[VALOR ESPERADO]] / tb_Auditoria[[#This Row],[VALOR CRÉDITO]], 0)</f>
        <v>0</v>
      </c>
      <c r="L634" s="19" t="e">
        <f>SUMIFS([1]!Motor_Comissão[Valor Previsto],[1]!Motor_Comissão[Chave], tb_Auditoria[[#This Row],[Nº CONTRATO]]&amp;"-"&amp;tb_Auditoria[[#This Row],[PARCELA ATUAL]])</f>
        <v>#REF!</v>
      </c>
      <c r="M634" s="19" t="e">
        <f>tb_Auditoria[[#This Row],[VALOR PAGO]] - tb_Auditoria[[#This Row],[VALOR ESPERADO]]</f>
        <v>#REF!</v>
      </c>
      <c r="N6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5" spans="1:15">
      <c r="A635" s="9">
        <v>1156060</v>
      </c>
      <c r="B635" s="10">
        <v>3</v>
      </c>
      <c r="C635" s="28">
        <v>5.1200000000000004E-3</v>
      </c>
      <c r="D635" s="12">
        <f>tb_Auditoria[[#This Row],[% TAXA RELATÓRIO]]*tb_Auditoria[[#This Row],[VALOR CRÉDITO]]</f>
        <v>2048</v>
      </c>
      <c r="E635" s="13">
        <v>46072</v>
      </c>
      <c r="F635" s="13" t="s">
        <v>17</v>
      </c>
      <c r="G63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3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5" s="19">
        <f>IFERROR(INDEX([1]!tb_Vendas[Crédito],MATCH(tb_Auditoria[[#This Row],[Nº CONTRATO]],[1]!tb_Vendas[Nº Contrato],0)),0)</f>
        <v>400000</v>
      </c>
      <c r="K635" s="21">
        <f>IFERROR(tb_Auditoria[[#This Row],[VALOR ESPERADO]] / tb_Auditoria[[#This Row],[VALOR CRÉDITO]], 0)</f>
        <v>0</v>
      </c>
      <c r="L635" s="19" t="e">
        <f>SUMIFS([1]!Motor_Comissão[Valor Previsto],[1]!Motor_Comissão[Chave], tb_Auditoria[[#This Row],[Nº CONTRATO]]&amp;"-"&amp;tb_Auditoria[[#This Row],[PARCELA ATUAL]])</f>
        <v>#REF!</v>
      </c>
      <c r="M635" s="19" t="e">
        <f>tb_Auditoria[[#This Row],[VALOR PAGO]] - tb_Auditoria[[#This Row],[VALOR ESPERADO]]</f>
        <v>#REF!</v>
      </c>
      <c r="N6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6" spans="1:15">
      <c r="A636" s="9">
        <v>1156060</v>
      </c>
      <c r="B636" s="10">
        <v>5</v>
      </c>
      <c r="C636" s="28">
        <v>5.1200000000000004E-3</v>
      </c>
      <c r="D636" s="12">
        <f>tb_Auditoria[[#This Row],[% TAXA RELATÓRIO]]*tb_Auditoria[[#This Row],[VALOR CRÉDITO]]</f>
        <v>2048</v>
      </c>
      <c r="E636" s="13">
        <v>46129</v>
      </c>
      <c r="F636" s="13" t="s">
        <v>17</v>
      </c>
      <c r="G63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3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6" s="19">
        <f>IFERROR(INDEX([1]!tb_Vendas[Crédito],MATCH(tb_Auditoria[[#This Row],[Nº CONTRATO]],[1]!tb_Vendas[Nº Contrato],0)),0)</f>
        <v>400000</v>
      </c>
      <c r="K636" s="21">
        <f>IFERROR(tb_Auditoria[[#This Row],[VALOR ESPERADO]] / tb_Auditoria[[#This Row],[VALOR CRÉDITO]], 0)</f>
        <v>0</v>
      </c>
      <c r="L636" s="19" t="e">
        <f>SUMIFS([1]!Motor_Comissão[Valor Previsto],[1]!Motor_Comissão[Chave], tb_Auditoria[[#This Row],[Nº CONTRATO]]&amp;"-"&amp;tb_Auditoria[[#This Row],[PARCELA ATUAL]])</f>
        <v>#REF!</v>
      </c>
      <c r="M636" s="19" t="e">
        <f>tb_Auditoria[[#This Row],[VALOR PAGO]] - tb_Auditoria[[#This Row],[VALOR ESPERADO]]</f>
        <v>#REF!</v>
      </c>
      <c r="N6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7" spans="1:15">
      <c r="A637" s="9">
        <v>1156068</v>
      </c>
      <c r="B637" s="10">
        <v>4</v>
      </c>
      <c r="C637" s="28">
        <v>4.8640000000000003E-3</v>
      </c>
      <c r="D637" s="12">
        <f>tb_Auditoria[[#This Row],[% TAXA RELATÓRIO]]*tb_Auditoria[[#This Row],[VALOR CRÉDITO]]</f>
        <v>1062.3399168000001</v>
      </c>
      <c r="E637" s="13">
        <v>46100</v>
      </c>
      <c r="F637" s="13" t="s">
        <v>17</v>
      </c>
      <c r="G63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3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7" s="19">
        <f>IFERROR(INDEX([1]!tb_Vendas[Crédito],MATCH(tb_Auditoria[[#This Row],[Nº CONTRATO]],[1]!tb_Vendas[Nº Contrato],0)),0)</f>
        <v>218408.7</v>
      </c>
      <c r="K637" s="21">
        <f>IFERROR(tb_Auditoria[[#This Row],[VALOR ESPERADO]] / tb_Auditoria[[#This Row],[VALOR CRÉDITO]], 0)</f>
        <v>0</v>
      </c>
      <c r="L637" s="19" t="e">
        <f>SUMIFS([1]!Motor_Comissão[Valor Previsto],[1]!Motor_Comissão[Chave], tb_Auditoria[[#This Row],[Nº CONTRATO]]&amp;"-"&amp;tb_Auditoria[[#This Row],[PARCELA ATUAL]])</f>
        <v>#REF!</v>
      </c>
      <c r="M637" s="19" t="e">
        <f>tb_Auditoria[[#This Row],[VALOR PAGO]] - tb_Auditoria[[#This Row],[VALOR ESPERADO]]</f>
        <v>#REF!</v>
      </c>
      <c r="N6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8" spans="1:15">
      <c r="A638" s="9">
        <v>1156068</v>
      </c>
      <c r="B638" s="10">
        <v>6</v>
      </c>
      <c r="C638" s="28">
        <v>4.8640000000000003E-3</v>
      </c>
      <c r="D638" s="12">
        <f>tb_Auditoria[[#This Row],[% TAXA RELATÓRIO]]*tb_Auditoria[[#This Row],[VALOR CRÉDITO]]</f>
        <v>1062.3399168000001</v>
      </c>
      <c r="E638" s="13">
        <v>46161</v>
      </c>
      <c r="F638" s="13" t="s">
        <v>17</v>
      </c>
      <c r="G63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3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8" s="19">
        <f>IFERROR(INDEX([1]!tb_Vendas[Crédito],MATCH(tb_Auditoria[[#This Row],[Nº CONTRATO]],[1]!tb_Vendas[Nº Contrato],0)),0)</f>
        <v>218408.7</v>
      </c>
      <c r="K638" s="21">
        <f>IFERROR(tb_Auditoria[[#This Row],[VALOR ESPERADO]] / tb_Auditoria[[#This Row],[VALOR CRÉDITO]], 0)</f>
        <v>0</v>
      </c>
      <c r="L638" s="19" t="e">
        <f>SUMIFS([1]!Motor_Comissão[Valor Previsto],[1]!Motor_Comissão[Chave], tb_Auditoria[[#This Row],[Nº CONTRATO]]&amp;"-"&amp;tb_Auditoria[[#This Row],[PARCELA ATUAL]])</f>
        <v>#REF!</v>
      </c>
      <c r="M638" s="19" t="e">
        <f>tb_Auditoria[[#This Row],[VALOR PAGO]] - tb_Auditoria[[#This Row],[VALOR ESPERADO]]</f>
        <v>#REF!</v>
      </c>
      <c r="N6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39" spans="1:15">
      <c r="A639" s="9">
        <v>1156068</v>
      </c>
      <c r="B639" s="10">
        <v>1</v>
      </c>
      <c r="C639" s="28">
        <v>4.8640000000000003E-3</v>
      </c>
      <c r="D639" s="12">
        <f>tb_Auditoria[[#This Row],[% TAXA RELATÓRIO]]*tb_Auditoria[[#This Row],[VALOR CRÉDITO]]</f>
        <v>1062.3399168000001</v>
      </c>
      <c r="E639" s="13">
        <v>46008</v>
      </c>
      <c r="F639" s="13" t="s">
        <v>17</v>
      </c>
      <c r="G63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3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3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39" s="19">
        <f>IFERROR(INDEX([1]!tb_Vendas[Crédito],MATCH(tb_Auditoria[[#This Row],[Nº CONTRATO]],[1]!tb_Vendas[Nº Contrato],0)),0)</f>
        <v>218408.7</v>
      </c>
      <c r="K639" s="21">
        <f>IFERROR(tb_Auditoria[[#This Row],[VALOR ESPERADO]] / tb_Auditoria[[#This Row],[VALOR CRÉDITO]], 0)</f>
        <v>0</v>
      </c>
      <c r="L639" s="19" t="e">
        <f>SUMIFS([1]!Motor_Comissão[Valor Previsto],[1]!Motor_Comissão[Chave], tb_Auditoria[[#This Row],[Nº CONTRATO]]&amp;"-"&amp;tb_Auditoria[[#This Row],[PARCELA ATUAL]])</f>
        <v>#REF!</v>
      </c>
      <c r="M639" s="19" t="e">
        <f>tb_Auditoria[[#This Row],[VALOR PAGO]] - tb_Auditoria[[#This Row],[VALOR ESPERADO]]</f>
        <v>#REF!</v>
      </c>
      <c r="N6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0" spans="1:15">
      <c r="A640" s="9">
        <v>1156068</v>
      </c>
      <c r="B640" s="10">
        <v>2</v>
      </c>
      <c r="C640" s="28">
        <v>4.8640000000000003E-3</v>
      </c>
      <c r="D640" s="12">
        <f>tb_Auditoria[[#This Row],[% TAXA RELATÓRIO]]*tb_Auditoria[[#This Row],[VALOR CRÉDITO]]</f>
        <v>1062.3399168000001</v>
      </c>
      <c r="E640" s="13">
        <v>46038</v>
      </c>
      <c r="F640" s="13" t="s">
        <v>17</v>
      </c>
      <c r="G64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4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0" s="19">
        <f>IFERROR(INDEX([1]!tb_Vendas[Crédito],MATCH(tb_Auditoria[[#This Row],[Nº CONTRATO]],[1]!tb_Vendas[Nº Contrato],0)),0)</f>
        <v>218408.7</v>
      </c>
      <c r="K640" s="21">
        <f>IFERROR(tb_Auditoria[[#This Row],[VALOR ESPERADO]] / tb_Auditoria[[#This Row],[VALOR CRÉDITO]], 0)</f>
        <v>0</v>
      </c>
      <c r="L640" s="19" t="e">
        <f>SUMIFS([1]!Motor_Comissão[Valor Previsto],[1]!Motor_Comissão[Chave], tb_Auditoria[[#This Row],[Nº CONTRATO]]&amp;"-"&amp;tb_Auditoria[[#This Row],[PARCELA ATUAL]])</f>
        <v>#REF!</v>
      </c>
      <c r="M640" s="19" t="e">
        <f>tb_Auditoria[[#This Row],[VALOR PAGO]] - tb_Auditoria[[#This Row],[VALOR ESPERADO]]</f>
        <v>#REF!</v>
      </c>
      <c r="N6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1" spans="1:15">
      <c r="A641" s="9">
        <v>1156068</v>
      </c>
      <c r="B641" s="10">
        <v>3</v>
      </c>
      <c r="C641" s="28">
        <v>4.8640000000000003E-3</v>
      </c>
      <c r="D641" s="12">
        <f>tb_Auditoria[[#This Row],[% TAXA RELATÓRIO]]*tb_Auditoria[[#This Row],[VALOR CRÉDITO]]</f>
        <v>1062.3399168000001</v>
      </c>
      <c r="E641" s="13">
        <v>46072</v>
      </c>
      <c r="F641" s="13" t="s">
        <v>17</v>
      </c>
      <c r="G64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4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1" s="19">
        <f>IFERROR(INDEX([1]!tb_Vendas[Crédito],MATCH(tb_Auditoria[[#This Row],[Nº CONTRATO]],[1]!tb_Vendas[Nº Contrato],0)),0)</f>
        <v>218408.7</v>
      </c>
      <c r="K641" s="21">
        <f>IFERROR(tb_Auditoria[[#This Row],[VALOR ESPERADO]] / tb_Auditoria[[#This Row],[VALOR CRÉDITO]], 0)</f>
        <v>0</v>
      </c>
      <c r="L641" s="19" t="e">
        <f>SUMIFS([1]!Motor_Comissão[Valor Previsto],[1]!Motor_Comissão[Chave], tb_Auditoria[[#This Row],[Nº CONTRATO]]&amp;"-"&amp;tb_Auditoria[[#This Row],[PARCELA ATUAL]])</f>
        <v>#REF!</v>
      </c>
      <c r="M641" s="19" t="e">
        <f>tb_Auditoria[[#This Row],[VALOR PAGO]] - tb_Auditoria[[#This Row],[VALOR ESPERADO]]</f>
        <v>#REF!</v>
      </c>
      <c r="N6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2" spans="1:15">
      <c r="A642" s="9">
        <v>1156068</v>
      </c>
      <c r="B642" s="10">
        <v>5</v>
      </c>
      <c r="C642" s="28">
        <v>4.8640000000000003E-3</v>
      </c>
      <c r="D642" s="12">
        <f>tb_Auditoria[[#This Row],[% TAXA RELATÓRIO]]*tb_Auditoria[[#This Row],[VALOR CRÉDITO]]</f>
        <v>1062.3399168000001</v>
      </c>
      <c r="E642" s="13">
        <v>46129</v>
      </c>
      <c r="F642" s="13" t="s">
        <v>17</v>
      </c>
      <c r="G64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4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2" s="19">
        <f>IFERROR(INDEX([1]!tb_Vendas[Crédito],MATCH(tb_Auditoria[[#This Row],[Nº CONTRATO]],[1]!tb_Vendas[Nº Contrato],0)),0)</f>
        <v>218408.7</v>
      </c>
      <c r="K642" s="21">
        <f>IFERROR(tb_Auditoria[[#This Row],[VALOR ESPERADO]] / tb_Auditoria[[#This Row],[VALOR CRÉDITO]], 0)</f>
        <v>0</v>
      </c>
      <c r="L642" s="19" t="e">
        <f>SUMIFS([1]!Motor_Comissão[Valor Previsto],[1]!Motor_Comissão[Chave], tb_Auditoria[[#This Row],[Nº CONTRATO]]&amp;"-"&amp;tb_Auditoria[[#This Row],[PARCELA ATUAL]])</f>
        <v>#REF!</v>
      </c>
      <c r="M642" s="19" t="e">
        <f>tb_Auditoria[[#This Row],[VALOR PAGO]] - tb_Auditoria[[#This Row],[VALOR ESPERADO]]</f>
        <v>#REF!</v>
      </c>
      <c r="N6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3" spans="1:15">
      <c r="A643" s="9">
        <v>1156069</v>
      </c>
      <c r="B643" s="10">
        <v>4</v>
      </c>
      <c r="C643" s="28">
        <v>4.9919999999999999E-3</v>
      </c>
      <c r="D643" s="12">
        <f>tb_Auditoria[[#This Row],[% TAXA RELATÓRIO]]*tb_Auditoria[[#This Row],[VALOR CRÉDITO]]</f>
        <v>1050.5683967999998</v>
      </c>
      <c r="E643" s="13">
        <v>46100</v>
      </c>
      <c r="F643" s="13" t="s">
        <v>17</v>
      </c>
      <c r="G64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4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3" s="19">
        <f>IFERROR(INDEX([1]!tb_Vendas[Crédito],MATCH(tb_Auditoria[[#This Row],[Nº CONTRATO]],[1]!tb_Vendas[Nº Contrato],0)),0)</f>
        <v>210450.4</v>
      </c>
      <c r="K643" s="21">
        <f>IFERROR(tb_Auditoria[[#This Row],[VALOR ESPERADO]] / tb_Auditoria[[#This Row],[VALOR CRÉDITO]], 0)</f>
        <v>0</v>
      </c>
      <c r="L643" s="19" t="e">
        <f>SUMIFS([1]!Motor_Comissão[Valor Previsto],[1]!Motor_Comissão[Chave], tb_Auditoria[[#This Row],[Nº CONTRATO]]&amp;"-"&amp;tb_Auditoria[[#This Row],[PARCELA ATUAL]])</f>
        <v>#REF!</v>
      </c>
      <c r="M643" s="19" t="e">
        <f>tb_Auditoria[[#This Row],[VALOR PAGO]] - tb_Auditoria[[#This Row],[VALOR ESPERADO]]</f>
        <v>#REF!</v>
      </c>
      <c r="N6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4" spans="1:15">
      <c r="A644" s="9">
        <v>1156069</v>
      </c>
      <c r="B644" s="10">
        <v>6</v>
      </c>
      <c r="C644" s="28">
        <v>4.9919999999999999E-3</v>
      </c>
      <c r="D644" s="12">
        <f>tb_Auditoria[[#This Row],[% TAXA RELATÓRIO]]*tb_Auditoria[[#This Row],[VALOR CRÉDITO]]</f>
        <v>1050.5683967999998</v>
      </c>
      <c r="E644" s="13">
        <v>46161</v>
      </c>
      <c r="F644" s="13" t="s">
        <v>17</v>
      </c>
      <c r="G64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4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4" s="19">
        <f>IFERROR(INDEX([1]!tb_Vendas[Crédito],MATCH(tb_Auditoria[[#This Row],[Nº CONTRATO]],[1]!tb_Vendas[Nº Contrato],0)),0)</f>
        <v>210450.4</v>
      </c>
      <c r="K644" s="21">
        <f>IFERROR(tb_Auditoria[[#This Row],[VALOR ESPERADO]] / tb_Auditoria[[#This Row],[VALOR CRÉDITO]], 0)</f>
        <v>0</v>
      </c>
      <c r="L644" s="19" t="e">
        <f>SUMIFS([1]!Motor_Comissão[Valor Previsto],[1]!Motor_Comissão[Chave], tb_Auditoria[[#This Row],[Nº CONTRATO]]&amp;"-"&amp;tb_Auditoria[[#This Row],[PARCELA ATUAL]])</f>
        <v>#REF!</v>
      </c>
      <c r="M644" s="19" t="e">
        <f>tb_Auditoria[[#This Row],[VALOR PAGO]] - tb_Auditoria[[#This Row],[VALOR ESPERADO]]</f>
        <v>#REF!</v>
      </c>
      <c r="N6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5" spans="1:15">
      <c r="A645" s="9">
        <v>1156069</v>
      </c>
      <c r="B645" s="10">
        <v>1</v>
      </c>
      <c r="C645" s="28">
        <v>4.9919999999999999E-3</v>
      </c>
      <c r="D645" s="12">
        <f>tb_Auditoria[[#This Row],[% TAXA RELATÓRIO]]*tb_Auditoria[[#This Row],[VALOR CRÉDITO]]</f>
        <v>1050.5683967999998</v>
      </c>
      <c r="E645" s="13">
        <v>46008</v>
      </c>
      <c r="F645" s="13" t="s">
        <v>17</v>
      </c>
      <c r="G64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4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5" s="19">
        <f>IFERROR(INDEX([1]!tb_Vendas[Crédito],MATCH(tb_Auditoria[[#This Row],[Nº CONTRATO]],[1]!tb_Vendas[Nº Contrato],0)),0)</f>
        <v>210450.4</v>
      </c>
      <c r="K645" s="21">
        <f>IFERROR(tb_Auditoria[[#This Row],[VALOR ESPERADO]] / tb_Auditoria[[#This Row],[VALOR CRÉDITO]], 0)</f>
        <v>0</v>
      </c>
      <c r="L645" s="19" t="e">
        <f>SUMIFS([1]!Motor_Comissão[Valor Previsto],[1]!Motor_Comissão[Chave], tb_Auditoria[[#This Row],[Nº CONTRATO]]&amp;"-"&amp;tb_Auditoria[[#This Row],[PARCELA ATUAL]])</f>
        <v>#REF!</v>
      </c>
      <c r="M645" s="19" t="e">
        <f>tb_Auditoria[[#This Row],[VALOR PAGO]] - tb_Auditoria[[#This Row],[VALOR ESPERADO]]</f>
        <v>#REF!</v>
      </c>
      <c r="N6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6" spans="1:15">
      <c r="A646" s="9">
        <v>1156069</v>
      </c>
      <c r="B646" s="10">
        <v>2</v>
      </c>
      <c r="C646" s="28">
        <v>4.9919999999999999E-3</v>
      </c>
      <c r="D646" s="12">
        <f>tb_Auditoria[[#This Row],[% TAXA RELATÓRIO]]*tb_Auditoria[[#This Row],[VALOR CRÉDITO]]</f>
        <v>1050.5683967999998</v>
      </c>
      <c r="E646" s="13">
        <v>46038</v>
      </c>
      <c r="F646" s="13" t="s">
        <v>17</v>
      </c>
      <c r="G64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4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6" s="19">
        <f>IFERROR(INDEX([1]!tb_Vendas[Crédito],MATCH(tb_Auditoria[[#This Row],[Nº CONTRATO]],[1]!tb_Vendas[Nº Contrato],0)),0)</f>
        <v>210450.4</v>
      </c>
      <c r="K646" s="21">
        <f>IFERROR(tb_Auditoria[[#This Row],[VALOR ESPERADO]] / tb_Auditoria[[#This Row],[VALOR CRÉDITO]], 0)</f>
        <v>0</v>
      </c>
      <c r="L646" s="19" t="e">
        <f>SUMIFS([1]!Motor_Comissão[Valor Previsto],[1]!Motor_Comissão[Chave], tb_Auditoria[[#This Row],[Nº CONTRATO]]&amp;"-"&amp;tb_Auditoria[[#This Row],[PARCELA ATUAL]])</f>
        <v>#REF!</v>
      </c>
      <c r="M646" s="19" t="e">
        <f>tb_Auditoria[[#This Row],[VALOR PAGO]] - tb_Auditoria[[#This Row],[VALOR ESPERADO]]</f>
        <v>#REF!</v>
      </c>
      <c r="N6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7" spans="1:15">
      <c r="A647" s="9">
        <v>1156069</v>
      </c>
      <c r="B647" s="10">
        <v>3</v>
      </c>
      <c r="C647" s="28">
        <v>4.9919999999999999E-3</v>
      </c>
      <c r="D647" s="12">
        <f>tb_Auditoria[[#This Row],[% TAXA RELATÓRIO]]*tb_Auditoria[[#This Row],[VALOR CRÉDITO]]</f>
        <v>1050.5683967999998</v>
      </c>
      <c r="E647" s="13">
        <v>46072</v>
      </c>
      <c r="F647" s="13" t="s">
        <v>17</v>
      </c>
      <c r="G64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4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7" s="19">
        <f>IFERROR(INDEX([1]!tb_Vendas[Crédito],MATCH(tb_Auditoria[[#This Row],[Nº CONTRATO]],[1]!tb_Vendas[Nº Contrato],0)),0)</f>
        <v>210450.4</v>
      </c>
      <c r="K647" s="21">
        <f>IFERROR(tb_Auditoria[[#This Row],[VALOR ESPERADO]] / tb_Auditoria[[#This Row],[VALOR CRÉDITO]], 0)</f>
        <v>0</v>
      </c>
      <c r="L647" s="19" t="e">
        <f>SUMIFS([1]!Motor_Comissão[Valor Previsto],[1]!Motor_Comissão[Chave], tb_Auditoria[[#This Row],[Nº CONTRATO]]&amp;"-"&amp;tb_Auditoria[[#This Row],[PARCELA ATUAL]])</f>
        <v>#REF!</v>
      </c>
      <c r="M647" s="19" t="e">
        <f>tb_Auditoria[[#This Row],[VALOR PAGO]] - tb_Auditoria[[#This Row],[VALOR ESPERADO]]</f>
        <v>#REF!</v>
      </c>
      <c r="N6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8" spans="1:15">
      <c r="A648" s="9">
        <v>1156069</v>
      </c>
      <c r="B648" s="10">
        <v>5</v>
      </c>
      <c r="C648" s="28">
        <v>4.9919999999999999E-3</v>
      </c>
      <c r="D648" s="12">
        <f>tb_Auditoria[[#This Row],[% TAXA RELATÓRIO]]*tb_Auditoria[[#This Row],[VALOR CRÉDITO]]</f>
        <v>1050.5683967999998</v>
      </c>
      <c r="E648" s="13">
        <v>46129</v>
      </c>
      <c r="F648" s="13" t="s">
        <v>17</v>
      </c>
      <c r="G64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4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8" s="19">
        <f>IFERROR(INDEX([1]!tb_Vendas[Crédito],MATCH(tb_Auditoria[[#This Row],[Nº CONTRATO]],[1]!tb_Vendas[Nº Contrato],0)),0)</f>
        <v>210450.4</v>
      </c>
      <c r="K648" s="21">
        <f>IFERROR(tb_Auditoria[[#This Row],[VALOR ESPERADO]] / tb_Auditoria[[#This Row],[VALOR CRÉDITO]], 0)</f>
        <v>0</v>
      </c>
      <c r="L648" s="19" t="e">
        <f>SUMIFS([1]!Motor_Comissão[Valor Previsto],[1]!Motor_Comissão[Chave], tb_Auditoria[[#This Row],[Nº CONTRATO]]&amp;"-"&amp;tb_Auditoria[[#This Row],[PARCELA ATUAL]])</f>
        <v>#REF!</v>
      </c>
      <c r="M648" s="19" t="e">
        <f>tb_Auditoria[[#This Row],[VALOR PAGO]] - tb_Auditoria[[#This Row],[VALOR ESPERADO]]</f>
        <v>#REF!</v>
      </c>
      <c r="N6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49" spans="1:15">
      <c r="A649" s="9">
        <v>1156070</v>
      </c>
      <c r="B649" s="10">
        <v>4</v>
      </c>
      <c r="C649" s="28">
        <v>4.8640000000000003E-3</v>
      </c>
      <c r="D649" s="12">
        <f>tb_Auditoria[[#This Row],[% TAXA RELATÓRIO]]*tb_Auditoria[[#This Row],[VALOR CRÉDITO]]</f>
        <v>1459.2</v>
      </c>
      <c r="E649" s="13">
        <v>46100</v>
      </c>
      <c r="F649" s="13" t="s">
        <v>17</v>
      </c>
      <c r="G64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4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4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49" s="19">
        <f>IFERROR(INDEX([1]!tb_Vendas[Crédito],MATCH(tb_Auditoria[[#This Row],[Nº CONTRATO]],[1]!tb_Vendas[Nº Contrato],0)),0)</f>
        <v>300000</v>
      </c>
      <c r="K649" s="21">
        <f>IFERROR(tb_Auditoria[[#This Row],[VALOR ESPERADO]] / tb_Auditoria[[#This Row],[VALOR CRÉDITO]], 0)</f>
        <v>0</v>
      </c>
      <c r="L649" s="19" t="e">
        <f>SUMIFS([1]!Motor_Comissão[Valor Previsto],[1]!Motor_Comissão[Chave], tb_Auditoria[[#This Row],[Nº CONTRATO]]&amp;"-"&amp;tb_Auditoria[[#This Row],[PARCELA ATUAL]])</f>
        <v>#REF!</v>
      </c>
      <c r="M649" s="19" t="e">
        <f>tb_Auditoria[[#This Row],[VALOR PAGO]] - tb_Auditoria[[#This Row],[VALOR ESPERADO]]</f>
        <v>#REF!</v>
      </c>
      <c r="N6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0" spans="1:15">
      <c r="A650" s="9">
        <v>1156070</v>
      </c>
      <c r="B650" s="10">
        <v>6</v>
      </c>
      <c r="C650" s="28">
        <v>4.8640000000000003E-3</v>
      </c>
      <c r="D650" s="12">
        <f>tb_Auditoria[[#This Row],[% TAXA RELATÓRIO]]*tb_Auditoria[[#This Row],[VALOR CRÉDITO]]</f>
        <v>1459.2</v>
      </c>
      <c r="E650" s="13">
        <v>46161</v>
      </c>
      <c r="F650" s="13" t="s">
        <v>17</v>
      </c>
      <c r="G65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5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0" s="19">
        <f>IFERROR(INDEX([1]!tb_Vendas[Crédito],MATCH(tb_Auditoria[[#This Row],[Nº CONTRATO]],[1]!tb_Vendas[Nº Contrato],0)),0)</f>
        <v>300000</v>
      </c>
      <c r="K650" s="21">
        <f>IFERROR(tb_Auditoria[[#This Row],[VALOR ESPERADO]] / tb_Auditoria[[#This Row],[VALOR CRÉDITO]], 0)</f>
        <v>0</v>
      </c>
      <c r="L650" s="19" t="e">
        <f>SUMIFS([1]!Motor_Comissão[Valor Previsto],[1]!Motor_Comissão[Chave], tb_Auditoria[[#This Row],[Nº CONTRATO]]&amp;"-"&amp;tb_Auditoria[[#This Row],[PARCELA ATUAL]])</f>
        <v>#REF!</v>
      </c>
      <c r="M650" s="19" t="e">
        <f>tb_Auditoria[[#This Row],[VALOR PAGO]] - tb_Auditoria[[#This Row],[VALOR ESPERADO]]</f>
        <v>#REF!</v>
      </c>
      <c r="N6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1" spans="1:15">
      <c r="A651" s="9">
        <v>1156070</v>
      </c>
      <c r="B651" s="10">
        <v>1</v>
      </c>
      <c r="C651" s="28">
        <v>4.8640000000000003E-3</v>
      </c>
      <c r="D651" s="12">
        <f>tb_Auditoria[[#This Row],[% TAXA RELATÓRIO]]*tb_Auditoria[[#This Row],[VALOR CRÉDITO]]</f>
        <v>1459.2</v>
      </c>
      <c r="E651" s="13">
        <v>46008</v>
      </c>
      <c r="F651" s="13" t="s">
        <v>17</v>
      </c>
      <c r="G65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5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1" s="19">
        <f>IFERROR(INDEX([1]!tb_Vendas[Crédito],MATCH(tb_Auditoria[[#This Row],[Nº CONTRATO]],[1]!tb_Vendas[Nº Contrato],0)),0)</f>
        <v>300000</v>
      </c>
      <c r="K651" s="21">
        <f>IFERROR(tb_Auditoria[[#This Row],[VALOR ESPERADO]] / tb_Auditoria[[#This Row],[VALOR CRÉDITO]], 0)</f>
        <v>0</v>
      </c>
      <c r="L651" s="19" t="e">
        <f>SUMIFS([1]!Motor_Comissão[Valor Previsto],[1]!Motor_Comissão[Chave], tb_Auditoria[[#This Row],[Nº CONTRATO]]&amp;"-"&amp;tb_Auditoria[[#This Row],[PARCELA ATUAL]])</f>
        <v>#REF!</v>
      </c>
      <c r="M651" s="19" t="e">
        <f>tb_Auditoria[[#This Row],[VALOR PAGO]] - tb_Auditoria[[#This Row],[VALOR ESPERADO]]</f>
        <v>#REF!</v>
      </c>
      <c r="N6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2" spans="1:15">
      <c r="A652" s="9">
        <v>1156070</v>
      </c>
      <c r="B652" s="10">
        <v>2</v>
      </c>
      <c r="C652" s="28">
        <v>4.8640000000000003E-3</v>
      </c>
      <c r="D652" s="12">
        <f>tb_Auditoria[[#This Row],[% TAXA RELATÓRIO]]*tb_Auditoria[[#This Row],[VALOR CRÉDITO]]</f>
        <v>1459.2</v>
      </c>
      <c r="E652" s="13">
        <v>46038</v>
      </c>
      <c r="F652" s="13" t="s">
        <v>17</v>
      </c>
      <c r="G65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5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2" s="19">
        <f>IFERROR(INDEX([1]!tb_Vendas[Crédito],MATCH(tb_Auditoria[[#This Row],[Nº CONTRATO]],[1]!tb_Vendas[Nº Contrato],0)),0)</f>
        <v>300000</v>
      </c>
      <c r="K652" s="21">
        <f>IFERROR(tb_Auditoria[[#This Row],[VALOR ESPERADO]] / tb_Auditoria[[#This Row],[VALOR CRÉDITO]], 0)</f>
        <v>0</v>
      </c>
      <c r="L652" s="19" t="e">
        <f>SUMIFS([1]!Motor_Comissão[Valor Previsto],[1]!Motor_Comissão[Chave], tb_Auditoria[[#This Row],[Nº CONTRATO]]&amp;"-"&amp;tb_Auditoria[[#This Row],[PARCELA ATUAL]])</f>
        <v>#REF!</v>
      </c>
      <c r="M652" s="19" t="e">
        <f>tb_Auditoria[[#This Row],[VALOR PAGO]] - tb_Auditoria[[#This Row],[VALOR ESPERADO]]</f>
        <v>#REF!</v>
      </c>
      <c r="N6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3" spans="1:15">
      <c r="A653" s="9">
        <v>1156070</v>
      </c>
      <c r="B653" s="10">
        <v>3</v>
      </c>
      <c r="C653" s="28">
        <v>4.8640000000000003E-3</v>
      </c>
      <c r="D653" s="12">
        <f>tb_Auditoria[[#This Row],[% TAXA RELATÓRIO]]*tb_Auditoria[[#This Row],[VALOR CRÉDITO]]</f>
        <v>1459.2</v>
      </c>
      <c r="E653" s="13">
        <v>46072</v>
      </c>
      <c r="F653" s="13" t="s">
        <v>17</v>
      </c>
      <c r="G65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5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3" s="19">
        <f>IFERROR(INDEX([1]!tb_Vendas[Crédito],MATCH(tb_Auditoria[[#This Row],[Nº CONTRATO]],[1]!tb_Vendas[Nº Contrato],0)),0)</f>
        <v>300000</v>
      </c>
      <c r="K653" s="21">
        <f>IFERROR(tb_Auditoria[[#This Row],[VALOR ESPERADO]] / tb_Auditoria[[#This Row],[VALOR CRÉDITO]], 0)</f>
        <v>0</v>
      </c>
      <c r="L653" s="19" t="e">
        <f>SUMIFS([1]!Motor_Comissão[Valor Previsto],[1]!Motor_Comissão[Chave], tb_Auditoria[[#This Row],[Nº CONTRATO]]&amp;"-"&amp;tb_Auditoria[[#This Row],[PARCELA ATUAL]])</f>
        <v>#REF!</v>
      </c>
      <c r="M653" s="19" t="e">
        <f>tb_Auditoria[[#This Row],[VALOR PAGO]] - tb_Auditoria[[#This Row],[VALOR ESPERADO]]</f>
        <v>#REF!</v>
      </c>
      <c r="N6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4" spans="1:15">
      <c r="A654" s="9">
        <v>1156070</v>
      </c>
      <c r="B654" s="10">
        <v>5</v>
      </c>
      <c r="C654" s="28">
        <v>4.8640000000000003E-3</v>
      </c>
      <c r="D654" s="12">
        <f>tb_Auditoria[[#This Row],[% TAXA RELATÓRIO]]*tb_Auditoria[[#This Row],[VALOR CRÉDITO]]</f>
        <v>1459.2</v>
      </c>
      <c r="E654" s="13">
        <v>46129</v>
      </c>
      <c r="F654" s="13" t="s">
        <v>17</v>
      </c>
      <c r="G65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5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4" s="19">
        <f>IFERROR(INDEX([1]!tb_Vendas[Crédito],MATCH(tb_Auditoria[[#This Row],[Nº CONTRATO]],[1]!tb_Vendas[Nº Contrato],0)),0)</f>
        <v>300000</v>
      </c>
      <c r="K654" s="21">
        <f>IFERROR(tb_Auditoria[[#This Row],[VALOR ESPERADO]] / tb_Auditoria[[#This Row],[VALOR CRÉDITO]], 0)</f>
        <v>0</v>
      </c>
      <c r="L654" s="19" t="e">
        <f>SUMIFS([1]!Motor_Comissão[Valor Previsto],[1]!Motor_Comissão[Chave], tb_Auditoria[[#This Row],[Nº CONTRATO]]&amp;"-"&amp;tb_Auditoria[[#This Row],[PARCELA ATUAL]])</f>
        <v>#REF!</v>
      </c>
      <c r="M654" s="19" t="e">
        <f>tb_Auditoria[[#This Row],[VALOR PAGO]] - tb_Auditoria[[#This Row],[VALOR ESPERADO]]</f>
        <v>#REF!</v>
      </c>
      <c r="N6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5" spans="1:15">
      <c r="A655" s="9">
        <v>1156070</v>
      </c>
      <c r="B655" s="10">
        <v>5</v>
      </c>
      <c r="C655" s="28">
        <v>4.8640000000000003E-3</v>
      </c>
      <c r="D655" s="12">
        <f>tb_Auditoria[[#This Row],[% TAXA RELATÓRIO]]*tb_Auditoria[[#This Row],[VALOR CRÉDITO]]</f>
        <v>1459.2</v>
      </c>
      <c r="E655" s="13">
        <v>46130</v>
      </c>
      <c r="F655" s="13" t="s">
        <v>17</v>
      </c>
      <c r="G65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5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5" s="19">
        <f>IFERROR(INDEX([1]!tb_Vendas[Crédito],MATCH(tb_Auditoria[[#This Row],[Nº CONTRATO]],[1]!tb_Vendas[Nº Contrato],0)),0)</f>
        <v>300000</v>
      </c>
      <c r="K655" s="21">
        <f>IFERROR(tb_Auditoria[[#This Row],[VALOR ESPERADO]] / tb_Auditoria[[#This Row],[VALOR CRÉDITO]], 0)</f>
        <v>0</v>
      </c>
      <c r="L655" s="19" t="e">
        <f>SUMIFS([1]!Motor_Comissão[Valor Previsto],[1]!Motor_Comissão[Chave], tb_Auditoria[[#This Row],[Nº CONTRATO]]&amp;"-"&amp;tb_Auditoria[[#This Row],[PARCELA ATUAL]])</f>
        <v>#REF!</v>
      </c>
      <c r="M655" s="19" t="e">
        <f>tb_Auditoria[[#This Row],[VALOR PAGO]] - tb_Auditoria[[#This Row],[VALOR ESPERADO]]</f>
        <v>#REF!</v>
      </c>
      <c r="N6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6" spans="1:15">
      <c r="A656" s="9">
        <v>1156070</v>
      </c>
      <c r="B656" s="10">
        <v>5</v>
      </c>
      <c r="C656" s="28">
        <v>4.8640000000000003E-3</v>
      </c>
      <c r="D656" s="12">
        <f>tb_Auditoria[[#This Row],[% TAXA RELATÓRIO]]*tb_Auditoria[[#This Row],[VALOR CRÉDITO]]</f>
        <v>1459.2</v>
      </c>
      <c r="E656" s="13">
        <v>46131</v>
      </c>
      <c r="F656" s="13" t="s">
        <v>17</v>
      </c>
      <c r="G65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5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6" s="19">
        <f>IFERROR(INDEX([1]!tb_Vendas[Crédito],MATCH(tb_Auditoria[[#This Row],[Nº CONTRATO]],[1]!tb_Vendas[Nº Contrato],0)),0)</f>
        <v>300000</v>
      </c>
      <c r="K656" s="21">
        <f>IFERROR(tb_Auditoria[[#This Row],[VALOR ESPERADO]] / tb_Auditoria[[#This Row],[VALOR CRÉDITO]], 0)</f>
        <v>0</v>
      </c>
      <c r="L656" s="19" t="e">
        <f>SUMIFS([1]!Motor_Comissão[Valor Previsto],[1]!Motor_Comissão[Chave], tb_Auditoria[[#This Row],[Nº CONTRATO]]&amp;"-"&amp;tb_Auditoria[[#This Row],[PARCELA ATUAL]])</f>
        <v>#REF!</v>
      </c>
      <c r="M656" s="19" t="e">
        <f>tb_Auditoria[[#This Row],[VALOR PAGO]] - tb_Auditoria[[#This Row],[VALOR ESPERADO]]</f>
        <v>#REF!</v>
      </c>
      <c r="N6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7" spans="1:15">
      <c r="A657" s="9">
        <v>1156070</v>
      </c>
      <c r="B657" s="10">
        <v>5</v>
      </c>
      <c r="C657" s="28">
        <v>4.8640000000000003E-3</v>
      </c>
      <c r="D657" s="12">
        <f>tb_Auditoria[[#This Row],[% TAXA RELATÓRIO]]*tb_Auditoria[[#This Row],[VALOR CRÉDITO]]</f>
        <v>1459.2</v>
      </c>
      <c r="E657" s="13">
        <v>46132</v>
      </c>
      <c r="F657" s="13" t="s">
        <v>17</v>
      </c>
      <c r="G65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5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7" s="19">
        <f>IFERROR(INDEX([1]!tb_Vendas[Crédito],MATCH(tb_Auditoria[[#This Row],[Nº CONTRATO]],[1]!tb_Vendas[Nº Contrato],0)),0)</f>
        <v>300000</v>
      </c>
      <c r="K657" s="21">
        <f>IFERROR(tb_Auditoria[[#This Row],[VALOR ESPERADO]] / tb_Auditoria[[#This Row],[VALOR CRÉDITO]], 0)</f>
        <v>0</v>
      </c>
      <c r="L657" s="19" t="e">
        <f>SUMIFS([1]!Motor_Comissão[Valor Previsto],[1]!Motor_Comissão[Chave], tb_Auditoria[[#This Row],[Nº CONTRATO]]&amp;"-"&amp;tb_Auditoria[[#This Row],[PARCELA ATUAL]])</f>
        <v>#REF!</v>
      </c>
      <c r="M657" s="19" t="e">
        <f>tb_Auditoria[[#This Row],[VALOR PAGO]] - tb_Auditoria[[#This Row],[VALOR ESPERADO]]</f>
        <v>#REF!</v>
      </c>
      <c r="N6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8" spans="1:15">
      <c r="A658" s="9">
        <v>1156070</v>
      </c>
      <c r="B658" s="10">
        <v>5</v>
      </c>
      <c r="C658" s="28">
        <v>4.8640000000000003E-3</v>
      </c>
      <c r="D658" s="12">
        <f>tb_Auditoria[[#This Row],[% TAXA RELATÓRIO]]*tb_Auditoria[[#This Row],[VALOR CRÉDITO]]</f>
        <v>1459.2</v>
      </c>
      <c r="E658" s="13">
        <v>46133</v>
      </c>
      <c r="F658" s="13" t="s">
        <v>17</v>
      </c>
      <c r="G65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5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8" s="19">
        <f>IFERROR(INDEX([1]!tb_Vendas[Crédito],MATCH(tb_Auditoria[[#This Row],[Nº CONTRATO]],[1]!tb_Vendas[Nº Contrato],0)),0)</f>
        <v>300000</v>
      </c>
      <c r="K658" s="21">
        <f>IFERROR(tb_Auditoria[[#This Row],[VALOR ESPERADO]] / tb_Auditoria[[#This Row],[VALOR CRÉDITO]], 0)</f>
        <v>0</v>
      </c>
      <c r="L658" s="19" t="e">
        <f>SUMIFS([1]!Motor_Comissão[Valor Previsto],[1]!Motor_Comissão[Chave], tb_Auditoria[[#This Row],[Nº CONTRATO]]&amp;"-"&amp;tb_Auditoria[[#This Row],[PARCELA ATUAL]])</f>
        <v>#REF!</v>
      </c>
      <c r="M658" s="19" t="e">
        <f>tb_Auditoria[[#This Row],[VALOR PAGO]] - tb_Auditoria[[#This Row],[VALOR ESPERADO]]</f>
        <v>#REF!</v>
      </c>
      <c r="N6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59" spans="1:15">
      <c r="A659" s="9">
        <v>1156070</v>
      </c>
      <c r="B659" s="10">
        <v>5</v>
      </c>
      <c r="C659" s="28">
        <v>4.8640000000000003E-3</v>
      </c>
      <c r="D659" s="12">
        <f>tb_Auditoria[[#This Row],[% TAXA RELATÓRIO]]*tb_Auditoria[[#This Row],[VALOR CRÉDITO]]</f>
        <v>1459.2</v>
      </c>
      <c r="E659" s="13">
        <v>46134</v>
      </c>
      <c r="F659" s="13" t="s">
        <v>17</v>
      </c>
      <c r="G65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5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5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59" s="19">
        <f>IFERROR(INDEX([1]!tb_Vendas[Crédito],MATCH(tb_Auditoria[[#This Row],[Nº CONTRATO]],[1]!tb_Vendas[Nº Contrato],0)),0)</f>
        <v>300000</v>
      </c>
      <c r="K659" s="21">
        <f>IFERROR(tb_Auditoria[[#This Row],[VALOR ESPERADO]] / tb_Auditoria[[#This Row],[VALOR CRÉDITO]], 0)</f>
        <v>0</v>
      </c>
      <c r="L659" s="19" t="e">
        <f>SUMIFS([1]!Motor_Comissão[Valor Previsto],[1]!Motor_Comissão[Chave], tb_Auditoria[[#This Row],[Nº CONTRATO]]&amp;"-"&amp;tb_Auditoria[[#This Row],[PARCELA ATUAL]])</f>
        <v>#REF!</v>
      </c>
      <c r="M659" s="19" t="e">
        <f>tb_Auditoria[[#This Row],[VALOR PAGO]] - tb_Auditoria[[#This Row],[VALOR ESPERADO]]</f>
        <v>#REF!</v>
      </c>
      <c r="N6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0" spans="1:15">
      <c r="A660" s="9">
        <v>1156070</v>
      </c>
      <c r="B660" s="10">
        <v>5</v>
      </c>
      <c r="C660" s="28">
        <v>4.8640000000000003E-3</v>
      </c>
      <c r="D660" s="12">
        <f>tb_Auditoria[[#This Row],[% TAXA RELATÓRIO]]*tb_Auditoria[[#This Row],[VALOR CRÉDITO]]</f>
        <v>1459.2</v>
      </c>
      <c r="E660" s="13">
        <v>46135</v>
      </c>
      <c r="F660" s="13" t="s">
        <v>17</v>
      </c>
      <c r="G66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6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0" s="19">
        <f>IFERROR(INDEX([1]!tb_Vendas[Crédito],MATCH(tb_Auditoria[[#This Row],[Nº CONTRATO]],[1]!tb_Vendas[Nº Contrato],0)),0)</f>
        <v>300000</v>
      </c>
      <c r="K660" s="21">
        <f>IFERROR(tb_Auditoria[[#This Row],[VALOR ESPERADO]] / tb_Auditoria[[#This Row],[VALOR CRÉDITO]], 0)</f>
        <v>0</v>
      </c>
      <c r="L660" s="19" t="e">
        <f>SUMIFS([1]!Motor_Comissão[Valor Previsto],[1]!Motor_Comissão[Chave], tb_Auditoria[[#This Row],[Nº CONTRATO]]&amp;"-"&amp;tb_Auditoria[[#This Row],[PARCELA ATUAL]])</f>
        <v>#REF!</v>
      </c>
      <c r="M660" s="19" t="e">
        <f>tb_Auditoria[[#This Row],[VALOR PAGO]] - tb_Auditoria[[#This Row],[VALOR ESPERADO]]</f>
        <v>#REF!</v>
      </c>
      <c r="N6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1" spans="1:15">
      <c r="A661" s="9">
        <v>1156079</v>
      </c>
      <c r="B661" s="10">
        <v>4</v>
      </c>
      <c r="C661" s="28">
        <v>4.8640000000000003E-3</v>
      </c>
      <c r="D661" s="12">
        <f>tb_Auditoria[[#This Row],[% TAXA RELATÓRIO]]*tb_Auditoria[[#This Row],[VALOR CRÉDITO]]</f>
        <v>1459.2</v>
      </c>
      <c r="E661" s="13">
        <v>46100</v>
      </c>
      <c r="F661" s="13" t="s">
        <v>17</v>
      </c>
      <c r="G66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6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1" s="19">
        <f>IFERROR(INDEX([1]!tb_Vendas[Crédito],MATCH(tb_Auditoria[[#This Row],[Nº CONTRATO]],[1]!tb_Vendas[Nº Contrato],0)),0)</f>
        <v>300000</v>
      </c>
      <c r="K661" s="21">
        <f>IFERROR(tb_Auditoria[[#This Row],[VALOR ESPERADO]] / tb_Auditoria[[#This Row],[VALOR CRÉDITO]], 0)</f>
        <v>0</v>
      </c>
      <c r="L661" s="19" t="e">
        <f>SUMIFS([1]!Motor_Comissão[Valor Previsto],[1]!Motor_Comissão[Chave], tb_Auditoria[[#This Row],[Nº CONTRATO]]&amp;"-"&amp;tb_Auditoria[[#This Row],[PARCELA ATUAL]])</f>
        <v>#REF!</v>
      </c>
      <c r="M661" s="19" t="e">
        <f>tb_Auditoria[[#This Row],[VALOR PAGO]] - tb_Auditoria[[#This Row],[VALOR ESPERADO]]</f>
        <v>#REF!</v>
      </c>
      <c r="N6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2" spans="1:15">
      <c r="A662" s="9">
        <v>1156079</v>
      </c>
      <c r="B662" s="10">
        <v>6</v>
      </c>
      <c r="C662" s="28">
        <v>4.8640000000000003E-3</v>
      </c>
      <c r="D662" s="12">
        <f>tb_Auditoria[[#This Row],[% TAXA RELATÓRIO]]*tb_Auditoria[[#This Row],[VALOR CRÉDITO]]</f>
        <v>1459.2</v>
      </c>
      <c r="E662" s="13">
        <v>46161</v>
      </c>
      <c r="F662" s="13" t="s">
        <v>17</v>
      </c>
      <c r="G66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6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2" s="19">
        <f>IFERROR(INDEX([1]!tb_Vendas[Crédito],MATCH(tb_Auditoria[[#This Row],[Nº CONTRATO]],[1]!tb_Vendas[Nº Contrato],0)),0)</f>
        <v>300000</v>
      </c>
      <c r="K662" s="21">
        <f>IFERROR(tb_Auditoria[[#This Row],[VALOR ESPERADO]] / tb_Auditoria[[#This Row],[VALOR CRÉDITO]], 0)</f>
        <v>0</v>
      </c>
      <c r="L662" s="19" t="e">
        <f>SUMIFS([1]!Motor_Comissão[Valor Previsto],[1]!Motor_Comissão[Chave], tb_Auditoria[[#This Row],[Nº CONTRATO]]&amp;"-"&amp;tb_Auditoria[[#This Row],[PARCELA ATUAL]])</f>
        <v>#REF!</v>
      </c>
      <c r="M662" s="19" t="e">
        <f>tb_Auditoria[[#This Row],[VALOR PAGO]] - tb_Auditoria[[#This Row],[VALOR ESPERADO]]</f>
        <v>#REF!</v>
      </c>
      <c r="N6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3" spans="1:15">
      <c r="A663" s="9">
        <v>1156079</v>
      </c>
      <c r="B663" s="10">
        <v>1</v>
      </c>
      <c r="C663" s="28">
        <v>4.8640000000000003E-3</v>
      </c>
      <c r="D663" s="12">
        <f>tb_Auditoria[[#This Row],[% TAXA RELATÓRIO]]*tb_Auditoria[[#This Row],[VALOR CRÉDITO]]</f>
        <v>1459.2</v>
      </c>
      <c r="E663" s="13">
        <v>46008</v>
      </c>
      <c r="F663" s="13" t="s">
        <v>17</v>
      </c>
      <c r="G66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6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3" s="19">
        <f>IFERROR(INDEX([1]!tb_Vendas[Crédito],MATCH(tb_Auditoria[[#This Row],[Nº CONTRATO]],[1]!tb_Vendas[Nº Contrato],0)),0)</f>
        <v>300000</v>
      </c>
      <c r="K663" s="21">
        <f>IFERROR(tb_Auditoria[[#This Row],[VALOR ESPERADO]] / tb_Auditoria[[#This Row],[VALOR CRÉDITO]], 0)</f>
        <v>0</v>
      </c>
      <c r="L663" s="19" t="e">
        <f>SUMIFS([1]!Motor_Comissão[Valor Previsto],[1]!Motor_Comissão[Chave], tb_Auditoria[[#This Row],[Nº CONTRATO]]&amp;"-"&amp;tb_Auditoria[[#This Row],[PARCELA ATUAL]])</f>
        <v>#REF!</v>
      </c>
      <c r="M663" s="19" t="e">
        <f>tb_Auditoria[[#This Row],[VALOR PAGO]] - tb_Auditoria[[#This Row],[VALOR ESPERADO]]</f>
        <v>#REF!</v>
      </c>
      <c r="N6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4" spans="1:15">
      <c r="A664" s="9">
        <v>1156079</v>
      </c>
      <c r="B664" s="10">
        <v>2</v>
      </c>
      <c r="C664" s="28">
        <v>4.8640000000000003E-3</v>
      </c>
      <c r="D664" s="12">
        <f>tb_Auditoria[[#This Row],[% TAXA RELATÓRIO]]*tb_Auditoria[[#This Row],[VALOR CRÉDITO]]</f>
        <v>1459.2</v>
      </c>
      <c r="E664" s="13">
        <v>46038</v>
      </c>
      <c r="F664" s="13" t="s">
        <v>17</v>
      </c>
      <c r="G66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6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4" s="19">
        <f>IFERROR(INDEX([1]!tb_Vendas[Crédito],MATCH(tb_Auditoria[[#This Row],[Nº CONTRATO]],[1]!tb_Vendas[Nº Contrato],0)),0)</f>
        <v>300000</v>
      </c>
      <c r="K664" s="21">
        <f>IFERROR(tb_Auditoria[[#This Row],[VALOR ESPERADO]] / tb_Auditoria[[#This Row],[VALOR CRÉDITO]], 0)</f>
        <v>0</v>
      </c>
      <c r="L664" s="19" t="e">
        <f>SUMIFS([1]!Motor_Comissão[Valor Previsto],[1]!Motor_Comissão[Chave], tb_Auditoria[[#This Row],[Nº CONTRATO]]&amp;"-"&amp;tb_Auditoria[[#This Row],[PARCELA ATUAL]])</f>
        <v>#REF!</v>
      </c>
      <c r="M664" s="19" t="e">
        <f>tb_Auditoria[[#This Row],[VALOR PAGO]] - tb_Auditoria[[#This Row],[VALOR ESPERADO]]</f>
        <v>#REF!</v>
      </c>
      <c r="N6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5" spans="1:15">
      <c r="A665" s="9">
        <v>1156079</v>
      </c>
      <c r="B665" s="10">
        <v>3</v>
      </c>
      <c r="C665" s="28">
        <v>4.8640000000000003E-3</v>
      </c>
      <c r="D665" s="12">
        <f>tb_Auditoria[[#This Row],[% TAXA RELATÓRIO]]*tb_Auditoria[[#This Row],[VALOR CRÉDITO]]</f>
        <v>1459.2</v>
      </c>
      <c r="E665" s="13">
        <v>46072</v>
      </c>
      <c r="F665" s="13" t="s">
        <v>17</v>
      </c>
      <c r="G66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6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5" s="19">
        <f>IFERROR(INDEX([1]!tb_Vendas[Crédito],MATCH(tb_Auditoria[[#This Row],[Nº CONTRATO]],[1]!tb_Vendas[Nº Contrato],0)),0)</f>
        <v>300000</v>
      </c>
      <c r="K665" s="21">
        <f>IFERROR(tb_Auditoria[[#This Row],[VALOR ESPERADO]] / tb_Auditoria[[#This Row],[VALOR CRÉDITO]], 0)</f>
        <v>0</v>
      </c>
      <c r="L665" s="19" t="e">
        <f>SUMIFS([1]!Motor_Comissão[Valor Previsto],[1]!Motor_Comissão[Chave], tb_Auditoria[[#This Row],[Nº CONTRATO]]&amp;"-"&amp;tb_Auditoria[[#This Row],[PARCELA ATUAL]])</f>
        <v>#REF!</v>
      </c>
      <c r="M665" s="19" t="e">
        <f>tb_Auditoria[[#This Row],[VALOR PAGO]] - tb_Auditoria[[#This Row],[VALOR ESPERADO]]</f>
        <v>#REF!</v>
      </c>
      <c r="N6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6" spans="1:15">
      <c r="A666" s="9">
        <v>1156079</v>
      </c>
      <c r="B666" s="10">
        <v>5</v>
      </c>
      <c r="C666" s="28">
        <v>4.8640000000000003E-3</v>
      </c>
      <c r="D666" s="12">
        <f>tb_Auditoria[[#This Row],[% TAXA RELATÓRIO]]*tb_Auditoria[[#This Row],[VALOR CRÉDITO]]</f>
        <v>1459.2</v>
      </c>
      <c r="E666" s="13">
        <v>46129</v>
      </c>
      <c r="F666" s="13" t="s">
        <v>17</v>
      </c>
      <c r="G66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MARKTFLIEGER FINANZVERWALTUNG HOLDING S/A</v>
      </c>
      <c r="I66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6" s="19">
        <f>IFERROR(INDEX([1]!tb_Vendas[Crédito],MATCH(tb_Auditoria[[#This Row],[Nº CONTRATO]],[1]!tb_Vendas[Nº Contrato],0)),0)</f>
        <v>300000</v>
      </c>
      <c r="K666" s="21">
        <f>IFERROR(tb_Auditoria[[#This Row],[VALOR ESPERADO]] / tb_Auditoria[[#This Row],[VALOR CRÉDITO]], 0)</f>
        <v>0</v>
      </c>
      <c r="L666" s="19" t="e">
        <f>SUMIFS([1]!Motor_Comissão[Valor Previsto],[1]!Motor_Comissão[Chave], tb_Auditoria[[#This Row],[Nº CONTRATO]]&amp;"-"&amp;tb_Auditoria[[#This Row],[PARCELA ATUAL]])</f>
        <v>#REF!</v>
      </c>
      <c r="M666" s="19" t="e">
        <f>tb_Auditoria[[#This Row],[VALOR PAGO]] - tb_Auditoria[[#This Row],[VALOR ESPERADO]]</f>
        <v>#REF!</v>
      </c>
      <c r="N6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7" spans="1:15">
      <c r="A667" s="9">
        <v>1142600</v>
      </c>
      <c r="B667" s="10">
        <v>4</v>
      </c>
      <c r="C667" s="28">
        <v>0</v>
      </c>
      <c r="D667" s="12">
        <f>tb_Auditoria[[#This Row],[% TAXA RELATÓRIO]]*tb_Auditoria[[#This Row],[VALOR CRÉDITO]]</f>
        <v>0</v>
      </c>
      <c r="E667" s="13">
        <v>46174</v>
      </c>
      <c r="F667" s="13" t="s">
        <v>17</v>
      </c>
      <c r="G66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6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7" s="19">
        <f>IFERROR(INDEX([1]!tb_Vendas[Crédito],MATCH(tb_Auditoria[[#This Row],[Nº CONTRATO]],[1]!tb_Vendas[Nº Contrato],0)),0)</f>
        <v>290412.46000000002</v>
      </c>
      <c r="K667" s="21">
        <f>IFERROR(tb_Auditoria[[#This Row],[VALOR ESPERADO]] / tb_Auditoria[[#This Row],[VALOR CRÉDITO]], 0)</f>
        <v>0</v>
      </c>
      <c r="L667" s="19" t="e">
        <f>SUMIFS([1]!Motor_Comissão[Valor Previsto],[1]!Motor_Comissão[Chave], tb_Auditoria[[#This Row],[Nº CONTRATO]]&amp;"-"&amp;tb_Auditoria[[#This Row],[PARCELA ATUAL]])</f>
        <v>#REF!</v>
      </c>
      <c r="M667" s="19" t="e">
        <f>tb_Auditoria[[#This Row],[VALOR PAGO]] - tb_Auditoria[[#This Row],[VALOR ESPERADO]]</f>
        <v>#REF!</v>
      </c>
      <c r="N6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8" spans="1:15">
      <c r="A668" s="9">
        <v>1142600</v>
      </c>
      <c r="B668" s="10">
        <v>5</v>
      </c>
      <c r="C668" s="28">
        <v>0</v>
      </c>
      <c r="D668" s="12">
        <f>tb_Auditoria[[#This Row],[% TAXA RELATÓRIO]]*tb_Auditoria[[#This Row],[VALOR CRÉDITO]]</f>
        <v>0</v>
      </c>
      <c r="E668" s="13">
        <v>46174</v>
      </c>
      <c r="F668" s="13" t="s">
        <v>17</v>
      </c>
      <c r="G66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6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8" s="19">
        <f>IFERROR(INDEX([1]!tb_Vendas[Crédito],MATCH(tb_Auditoria[[#This Row],[Nº CONTRATO]],[1]!tb_Vendas[Nº Contrato],0)),0)</f>
        <v>290412.46000000002</v>
      </c>
      <c r="K668" s="21">
        <f>IFERROR(tb_Auditoria[[#This Row],[VALOR ESPERADO]] / tb_Auditoria[[#This Row],[VALOR CRÉDITO]], 0)</f>
        <v>0</v>
      </c>
      <c r="L668" s="19" t="e">
        <f>SUMIFS([1]!Motor_Comissão[Valor Previsto],[1]!Motor_Comissão[Chave], tb_Auditoria[[#This Row],[Nº CONTRATO]]&amp;"-"&amp;tb_Auditoria[[#This Row],[PARCELA ATUAL]])</f>
        <v>#REF!</v>
      </c>
      <c r="M668" s="19" t="e">
        <f>tb_Auditoria[[#This Row],[VALOR PAGO]] - tb_Auditoria[[#This Row],[VALOR ESPERADO]]</f>
        <v>#REF!</v>
      </c>
      <c r="N66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69" spans="1:15">
      <c r="A669" s="9">
        <v>1142600</v>
      </c>
      <c r="B669" s="10">
        <v>6</v>
      </c>
      <c r="C669" s="28">
        <v>0</v>
      </c>
      <c r="D669" s="12">
        <f>tb_Auditoria[[#This Row],[% TAXA RELATÓRIO]]*tb_Auditoria[[#This Row],[VALOR CRÉDITO]]</f>
        <v>0</v>
      </c>
      <c r="E669" s="13">
        <v>46174</v>
      </c>
      <c r="F669" s="13" t="s">
        <v>17</v>
      </c>
      <c r="G66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6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6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69" s="19">
        <f>IFERROR(INDEX([1]!tb_Vendas[Crédito],MATCH(tb_Auditoria[[#This Row],[Nº CONTRATO]],[1]!tb_Vendas[Nº Contrato],0)),0)</f>
        <v>290412.46000000002</v>
      </c>
      <c r="K669" s="21">
        <f>IFERROR(tb_Auditoria[[#This Row],[VALOR ESPERADO]] / tb_Auditoria[[#This Row],[VALOR CRÉDITO]], 0)</f>
        <v>0</v>
      </c>
      <c r="L669" s="19" t="e">
        <f>SUMIFS([1]!Motor_Comissão[Valor Previsto],[1]!Motor_Comissão[Chave], tb_Auditoria[[#This Row],[Nº CONTRATO]]&amp;"-"&amp;tb_Auditoria[[#This Row],[PARCELA ATUAL]])</f>
        <v>#REF!</v>
      </c>
      <c r="M669" s="19" t="e">
        <f>tb_Auditoria[[#This Row],[VALOR PAGO]] - tb_Auditoria[[#This Row],[VALOR ESPERADO]]</f>
        <v>#REF!</v>
      </c>
      <c r="N6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0" spans="1:15">
      <c r="A670" s="9">
        <v>1142600</v>
      </c>
      <c r="B670" s="10">
        <v>7</v>
      </c>
      <c r="C670" s="28">
        <v>0</v>
      </c>
      <c r="D670" s="12">
        <f>tb_Auditoria[[#This Row],[% TAXA RELATÓRIO]]*tb_Auditoria[[#This Row],[VALOR CRÉDITO]]</f>
        <v>0</v>
      </c>
      <c r="E670" s="13">
        <v>46174</v>
      </c>
      <c r="F670" s="13" t="s">
        <v>17</v>
      </c>
      <c r="G67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7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0" s="19">
        <f>IFERROR(INDEX([1]!tb_Vendas[Crédito],MATCH(tb_Auditoria[[#This Row],[Nº CONTRATO]],[1]!tb_Vendas[Nº Contrato],0)),0)</f>
        <v>290412.46000000002</v>
      </c>
      <c r="K670" s="21">
        <f>IFERROR(tb_Auditoria[[#This Row],[VALOR ESPERADO]] / tb_Auditoria[[#This Row],[VALOR CRÉDITO]], 0)</f>
        <v>0</v>
      </c>
      <c r="L670" s="19" t="e">
        <f>SUMIFS([1]!Motor_Comissão[Valor Previsto],[1]!Motor_Comissão[Chave], tb_Auditoria[[#This Row],[Nº CONTRATO]]&amp;"-"&amp;tb_Auditoria[[#This Row],[PARCELA ATUAL]])</f>
        <v>#REF!</v>
      </c>
      <c r="M670" s="19" t="e">
        <f>tb_Auditoria[[#This Row],[VALOR PAGO]] - tb_Auditoria[[#This Row],[VALOR ESPERADO]]</f>
        <v>#REF!</v>
      </c>
      <c r="N6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1" spans="1:15">
      <c r="A671" s="9">
        <v>1142600</v>
      </c>
      <c r="B671" s="10">
        <v>8</v>
      </c>
      <c r="C671" s="28">
        <v>0</v>
      </c>
      <c r="D671" s="12">
        <f>tb_Auditoria[[#This Row],[% TAXA RELATÓRIO]]*tb_Auditoria[[#This Row],[VALOR CRÉDITO]]</f>
        <v>0</v>
      </c>
      <c r="E671" s="13">
        <v>46174</v>
      </c>
      <c r="F671" s="13" t="s">
        <v>17</v>
      </c>
      <c r="G67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7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1" s="19">
        <f>IFERROR(INDEX([1]!tb_Vendas[Crédito],MATCH(tb_Auditoria[[#This Row],[Nº CONTRATO]],[1]!tb_Vendas[Nº Contrato],0)),0)</f>
        <v>290412.46000000002</v>
      </c>
      <c r="K671" s="21">
        <f>IFERROR(tb_Auditoria[[#This Row],[VALOR ESPERADO]] / tb_Auditoria[[#This Row],[VALOR CRÉDITO]], 0)</f>
        <v>0</v>
      </c>
      <c r="L671" s="19" t="e">
        <f>SUMIFS([1]!Motor_Comissão[Valor Previsto],[1]!Motor_Comissão[Chave], tb_Auditoria[[#This Row],[Nº CONTRATO]]&amp;"-"&amp;tb_Auditoria[[#This Row],[PARCELA ATUAL]])</f>
        <v>#REF!</v>
      </c>
      <c r="M671" s="19" t="e">
        <f>tb_Auditoria[[#This Row],[VALOR PAGO]] - tb_Auditoria[[#This Row],[VALOR ESPERADO]]</f>
        <v>#REF!</v>
      </c>
      <c r="N6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2" spans="1:15">
      <c r="A672" s="9">
        <v>1142600</v>
      </c>
      <c r="B672" s="10">
        <v>9</v>
      </c>
      <c r="C672" s="28">
        <v>0</v>
      </c>
      <c r="D672" s="12">
        <f>tb_Auditoria[[#This Row],[% TAXA RELATÓRIO]]*tb_Auditoria[[#This Row],[VALOR CRÉDITO]]</f>
        <v>0</v>
      </c>
      <c r="E672" s="13">
        <v>46174</v>
      </c>
      <c r="F672" s="13" t="s">
        <v>17</v>
      </c>
      <c r="G67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7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2" s="19">
        <f>IFERROR(INDEX([1]!tb_Vendas[Crédito],MATCH(tb_Auditoria[[#This Row],[Nº CONTRATO]],[1]!tb_Vendas[Nº Contrato],0)),0)</f>
        <v>290412.46000000002</v>
      </c>
      <c r="K672" s="21">
        <f>IFERROR(tb_Auditoria[[#This Row],[VALOR ESPERADO]] / tb_Auditoria[[#This Row],[VALOR CRÉDITO]], 0)</f>
        <v>0</v>
      </c>
      <c r="L672" s="19" t="e">
        <f>SUMIFS([1]!Motor_Comissão[Valor Previsto],[1]!Motor_Comissão[Chave], tb_Auditoria[[#This Row],[Nº CONTRATO]]&amp;"-"&amp;tb_Auditoria[[#This Row],[PARCELA ATUAL]])</f>
        <v>#REF!</v>
      </c>
      <c r="M672" s="19" t="e">
        <f>tb_Auditoria[[#This Row],[VALOR PAGO]] - tb_Auditoria[[#This Row],[VALOR ESPERADO]]</f>
        <v>#REF!</v>
      </c>
      <c r="N6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3" spans="1:15">
      <c r="A673" s="9">
        <v>1142600</v>
      </c>
      <c r="B673" s="10">
        <v>10</v>
      </c>
      <c r="C673" s="28">
        <v>0</v>
      </c>
      <c r="D673" s="12">
        <f>tb_Auditoria[[#This Row],[% TAXA RELATÓRIO]]*tb_Auditoria[[#This Row],[VALOR CRÉDITO]]</f>
        <v>0</v>
      </c>
      <c r="E673" s="13">
        <v>46174</v>
      </c>
      <c r="F673" s="13" t="s">
        <v>17</v>
      </c>
      <c r="G67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7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3" s="19">
        <f>IFERROR(INDEX([1]!tb_Vendas[Crédito],MATCH(tb_Auditoria[[#This Row],[Nº CONTRATO]],[1]!tb_Vendas[Nº Contrato],0)),0)</f>
        <v>290412.46000000002</v>
      </c>
      <c r="K673" s="21">
        <f>IFERROR(tb_Auditoria[[#This Row],[VALOR ESPERADO]] / tb_Auditoria[[#This Row],[VALOR CRÉDITO]], 0)</f>
        <v>0</v>
      </c>
      <c r="L673" s="19" t="e">
        <f>SUMIFS([1]!Motor_Comissão[Valor Previsto],[1]!Motor_Comissão[Chave], tb_Auditoria[[#This Row],[Nº CONTRATO]]&amp;"-"&amp;tb_Auditoria[[#This Row],[PARCELA ATUAL]])</f>
        <v>#REF!</v>
      </c>
      <c r="M673" s="19" t="e">
        <f>tb_Auditoria[[#This Row],[VALOR PAGO]] - tb_Auditoria[[#This Row],[VALOR ESPERADO]]</f>
        <v>#REF!</v>
      </c>
      <c r="N6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4" spans="1:15">
      <c r="A674" s="9">
        <v>1142602</v>
      </c>
      <c r="B674" s="10">
        <v>4</v>
      </c>
      <c r="C674" s="28">
        <v>0</v>
      </c>
      <c r="D674" s="12">
        <f>tb_Auditoria[[#This Row],[% TAXA RELATÓRIO]]*tb_Auditoria[[#This Row],[VALOR CRÉDITO]]</f>
        <v>0</v>
      </c>
      <c r="E674" s="13">
        <v>46174</v>
      </c>
      <c r="F674" s="13" t="s">
        <v>17</v>
      </c>
      <c r="G67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7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4" s="19">
        <f>IFERROR(INDEX([1]!tb_Vendas[Crédito],MATCH(tb_Auditoria[[#This Row],[Nº CONTRATO]],[1]!tb_Vendas[Nº Contrato],0)),0)</f>
        <v>290024.53999999998</v>
      </c>
      <c r="K674" s="21">
        <f>IFERROR(tb_Auditoria[[#This Row],[VALOR ESPERADO]] / tb_Auditoria[[#This Row],[VALOR CRÉDITO]], 0)</f>
        <v>0</v>
      </c>
      <c r="L674" s="19" t="e">
        <f>SUMIFS([1]!Motor_Comissão[Valor Previsto],[1]!Motor_Comissão[Chave], tb_Auditoria[[#This Row],[Nº CONTRATO]]&amp;"-"&amp;tb_Auditoria[[#This Row],[PARCELA ATUAL]])</f>
        <v>#REF!</v>
      </c>
      <c r="M674" s="19" t="e">
        <f>tb_Auditoria[[#This Row],[VALOR PAGO]] - tb_Auditoria[[#This Row],[VALOR ESPERADO]]</f>
        <v>#REF!</v>
      </c>
      <c r="N6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5" spans="1:15">
      <c r="A675" s="9">
        <v>1142602</v>
      </c>
      <c r="B675" s="10">
        <v>5</v>
      </c>
      <c r="C675" s="28">
        <v>0</v>
      </c>
      <c r="D675" s="12">
        <f>tb_Auditoria[[#This Row],[% TAXA RELATÓRIO]]*tb_Auditoria[[#This Row],[VALOR CRÉDITO]]</f>
        <v>0</v>
      </c>
      <c r="E675" s="13">
        <v>46174</v>
      </c>
      <c r="F675" s="13" t="s">
        <v>17</v>
      </c>
      <c r="G67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7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5" s="19">
        <f>IFERROR(INDEX([1]!tb_Vendas[Crédito],MATCH(tb_Auditoria[[#This Row],[Nº CONTRATO]],[1]!tb_Vendas[Nº Contrato],0)),0)</f>
        <v>290024.53999999998</v>
      </c>
      <c r="K675" s="21">
        <f>IFERROR(tb_Auditoria[[#This Row],[VALOR ESPERADO]] / tb_Auditoria[[#This Row],[VALOR CRÉDITO]], 0)</f>
        <v>0</v>
      </c>
      <c r="L675" s="19" t="e">
        <f>SUMIFS([1]!Motor_Comissão[Valor Previsto],[1]!Motor_Comissão[Chave], tb_Auditoria[[#This Row],[Nº CONTRATO]]&amp;"-"&amp;tb_Auditoria[[#This Row],[PARCELA ATUAL]])</f>
        <v>#REF!</v>
      </c>
      <c r="M675" s="19" t="e">
        <f>tb_Auditoria[[#This Row],[VALOR PAGO]] - tb_Auditoria[[#This Row],[VALOR ESPERADO]]</f>
        <v>#REF!</v>
      </c>
      <c r="N6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6" spans="1:15">
      <c r="A676" s="9">
        <v>1142602</v>
      </c>
      <c r="B676" s="10">
        <v>6</v>
      </c>
      <c r="C676" s="28">
        <v>0</v>
      </c>
      <c r="D676" s="12">
        <f>tb_Auditoria[[#This Row],[% TAXA RELATÓRIO]]*tb_Auditoria[[#This Row],[VALOR CRÉDITO]]</f>
        <v>0</v>
      </c>
      <c r="E676" s="13">
        <v>46174</v>
      </c>
      <c r="F676" s="13" t="s">
        <v>17</v>
      </c>
      <c r="G67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7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6" s="19">
        <f>IFERROR(INDEX([1]!tb_Vendas[Crédito],MATCH(tb_Auditoria[[#This Row],[Nº CONTRATO]],[1]!tb_Vendas[Nº Contrato],0)),0)</f>
        <v>290024.53999999998</v>
      </c>
      <c r="K676" s="21">
        <f>IFERROR(tb_Auditoria[[#This Row],[VALOR ESPERADO]] / tb_Auditoria[[#This Row],[VALOR CRÉDITO]], 0)</f>
        <v>0</v>
      </c>
      <c r="L676" s="19" t="e">
        <f>SUMIFS([1]!Motor_Comissão[Valor Previsto],[1]!Motor_Comissão[Chave], tb_Auditoria[[#This Row],[Nº CONTRATO]]&amp;"-"&amp;tb_Auditoria[[#This Row],[PARCELA ATUAL]])</f>
        <v>#REF!</v>
      </c>
      <c r="M676" s="19" t="e">
        <f>tb_Auditoria[[#This Row],[VALOR PAGO]] - tb_Auditoria[[#This Row],[VALOR ESPERADO]]</f>
        <v>#REF!</v>
      </c>
      <c r="N6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7" spans="1:15">
      <c r="A677" s="9">
        <v>1142602</v>
      </c>
      <c r="B677" s="10">
        <v>7</v>
      </c>
      <c r="C677" s="28">
        <v>0</v>
      </c>
      <c r="D677" s="12">
        <f>tb_Auditoria[[#This Row],[% TAXA RELATÓRIO]]*tb_Auditoria[[#This Row],[VALOR CRÉDITO]]</f>
        <v>0</v>
      </c>
      <c r="E677" s="13">
        <v>46174</v>
      </c>
      <c r="F677" s="13" t="s">
        <v>17</v>
      </c>
      <c r="G67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7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7" s="19">
        <f>IFERROR(INDEX([1]!tb_Vendas[Crédito],MATCH(tb_Auditoria[[#This Row],[Nº CONTRATO]],[1]!tb_Vendas[Nº Contrato],0)),0)</f>
        <v>290024.53999999998</v>
      </c>
      <c r="K677" s="21">
        <f>IFERROR(tb_Auditoria[[#This Row],[VALOR ESPERADO]] / tb_Auditoria[[#This Row],[VALOR CRÉDITO]], 0)</f>
        <v>0</v>
      </c>
      <c r="L677" s="19" t="e">
        <f>SUMIFS([1]!Motor_Comissão[Valor Previsto],[1]!Motor_Comissão[Chave], tb_Auditoria[[#This Row],[Nº CONTRATO]]&amp;"-"&amp;tb_Auditoria[[#This Row],[PARCELA ATUAL]])</f>
        <v>#REF!</v>
      </c>
      <c r="M677" s="19" t="e">
        <f>tb_Auditoria[[#This Row],[VALOR PAGO]] - tb_Auditoria[[#This Row],[VALOR ESPERADO]]</f>
        <v>#REF!</v>
      </c>
      <c r="N6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8" spans="1:15">
      <c r="A678" s="9">
        <v>1142602</v>
      </c>
      <c r="B678" s="10">
        <v>8</v>
      </c>
      <c r="C678" s="28">
        <v>0</v>
      </c>
      <c r="D678" s="12">
        <f>tb_Auditoria[[#This Row],[% TAXA RELATÓRIO]]*tb_Auditoria[[#This Row],[VALOR CRÉDITO]]</f>
        <v>0</v>
      </c>
      <c r="E678" s="13">
        <v>46174</v>
      </c>
      <c r="F678" s="13" t="s">
        <v>17</v>
      </c>
      <c r="G67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7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8" s="19">
        <f>IFERROR(INDEX([1]!tb_Vendas[Crédito],MATCH(tb_Auditoria[[#This Row],[Nº CONTRATO]],[1]!tb_Vendas[Nº Contrato],0)),0)</f>
        <v>290024.53999999998</v>
      </c>
      <c r="K678" s="21">
        <f>IFERROR(tb_Auditoria[[#This Row],[VALOR ESPERADO]] / tb_Auditoria[[#This Row],[VALOR CRÉDITO]], 0)</f>
        <v>0</v>
      </c>
      <c r="L678" s="19" t="e">
        <f>SUMIFS([1]!Motor_Comissão[Valor Previsto],[1]!Motor_Comissão[Chave], tb_Auditoria[[#This Row],[Nº CONTRATO]]&amp;"-"&amp;tb_Auditoria[[#This Row],[PARCELA ATUAL]])</f>
        <v>#REF!</v>
      </c>
      <c r="M678" s="19" t="e">
        <f>tb_Auditoria[[#This Row],[VALOR PAGO]] - tb_Auditoria[[#This Row],[VALOR ESPERADO]]</f>
        <v>#REF!</v>
      </c>
      <c r="N6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79" spans="1:15">
      <c r="A679" s="9">
        <v>1142602</v>
      </c>
      <c r="B679" s="10">
        <v>9</v>
      </c>
      <c r="C679" s="28">
        <v>0</v>
      </c>
      <c r="D679" s="12">
        <f>tb_Auditoria[[#This Row],[% TAXA RELATÓRIO]]*tb_Auditoria[[#This Row],[VALOR CRÉDITO]]</f>
        <v>0</v>
      </c>
      <c r="E679" s="13">
        <v>46174</v>
      </c>
      <c r="F679" s="13" t="s">
        <v>17</v>
      </c>
      <c r="G67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7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7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79" s="19">
        <f>IFERROR(INDEX([1]!tb_Vendas[Crédito],MATCH(tb_Auditoria[[#This Row],[Nº CONTRATO]],[1]!tb_Vendas[Nº Contrato],0)),0)</f>
        <v>290024.53999999998</v>
      </c>
      <c r="K679" s="21">
        <f>IFERROR(tb_Auditoria[[#This Row],[VALOR ESPERADO]] / tb_Auditoria[[#This Row],[VALOR CRÉDITO]], 0)</f>
        <v>0</v>
      </c>
      <c r="L679" s="19" t="e">
        <f>SUMIFS([1]!Motor_Comissão[Valor Previsto],[1]!Motor_Comissão[Chave], tb_Auditoria[[#This Row],[Nº CONTRATO]]&amp;"-"&amp;tb_Auditoria[[#This Row],[PARCELA ATUAL]])</f>
        <v>#REF!</v>
      </c>
      <c r="M679" s="19" t="e">
        <f>tb_Auditoria[[#This Row],[VALOR PAGO]] - tb_Auditoria[[#This Row],[VALOR ESPERADO]]</f>
        <v>#REF!</v>
      </c>
      <c r="N6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0" spans="1:15">
      <c r="A680" s="9">
        <v>1142602</v>
      </c>
      <c r="B680" s="10">
        <v>10</v>
      </c>
      <c r="C680" s="28">
        <v>0</v>
      </c>
      <c r="D680" s="12">
        <f>tb_Auditoria[[#This Row],[% TAXA RELATÓRIO]]*tb_Auditoria[[#This Row],[VALOR CRÉDITO]]</f>
        <v>0</v>
      </c>
      <c r="E680" s="13">
        <v>46174</v>
      </c>
      <c r="F680" s="13" t="s">
        <v>17</v>
      </c>
      <c r="G68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8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0" s="19">
        <f>IFERROR(INDEX([1]!tb_Vendas[Crédito],MATCH(tb_Auditoria[[#This Row],[Nº CONTRATO]],[1]!tb_Vendas[Nº Contrato],0)),0)</f>
        <v>290024.53999999998</v>
      </c>
      <c r="K680" s="21">
        <f>IFERROR(tb_Auditoria[[#This Row],[VALOR ESPERADO]] / tb_Auditoria[[#This Row],[VALOR CRÉDITO]], 0)</f>
        <v>0</v>
      </c>
      <c r="L680" s="19" t="e">
        <f>SUMIFS([1]!Motor_Comissão[Valor Previsto],[1]!Motor_Comissão[Chave], tb_Auditoria[[#This Row],[Nº CONTRATO]]&amp;"-"&amp;tb_Auditoria[[#This Row],[PARCELA ATUAL]])</f>
        <v>#REF!</v>
      </c>
      <c r="M680" s="19" t="e">
        <f>tb_Auditoria[[#This Row],[VALOR PAGO]] - tb_Auditoria[[#This Row],[VALOR ESPERADO]]</f>
        <v>#REF!</v>
      </c>
      <c r="N6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1" spans="1:15">
      <c r="A681" s="9">
        <v>1142603</v>
      </c>
      <c r="B681" s="10">
        <v>4</v>
      </c>
      <c r="C681" s="28">
        <v>0</v>
      </c>
      <c r="D681" s="12">
        <f>tb_Auditoria[[#This Row],[% TAXA RELATÓRIO]]*tb_Auditoria[[#This Row],[VALOR CRÉDITO]]</f>
        <v>0</v>
      </c>
      <c r="E681" s="13">
        <v>46174</v>
      </c>
      <c r="F681" s="13" t="s">
        <v>17</v>
      </c>
      <c r="G68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8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1" s="19">
        <f>IFERROR(INDEX([1]!tb_Vendas[Crédito],MATCH(tb_Auditoria[[#This Row],[Nº CONTRATO]],[1]!tb_Vendas[Nº Contrato],0)),0)</f>
        <v>272334.03000000003</v>
      </c>
      <c r="K681" s="21">
        <f>IFERROR(tb_Auditoria[[#This Row],[VALOR ESPERADO]] / tb_Auditoria[[#This Row],[VALOR CRÉDITO]], 0)</f>
        <v>0</v>
      </c>
      <c r="L681" s="19" t="e">
        <f>SUMIFS([1]!Motor_Comissão[Valor Previsto],[1]!Motor_Comissão[Chave], tb_Auditoria[[#This Row],[Nº CONTRATO]]&amp;"-"&amp;tb_Auditoria[[#This Row],[PARCELA ATUAL]])</f>
        <v>#REF!</v>
      </c>
      <c r="M681" s="19" t="e">
        <f>tb_Auditoria[[#This Row],[VALOR PAGO]] - tb_Auditoria[[#This Row],[VALOR ESPERADO]]</f>
        <v>#REF!</v>
      </c>
      <c r="N6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2" spans="1:15">
      <c r="A682" s="9">
        <v>1142603</v>
      </c>
      <c r="B682" s="10">
        <v>5</v>
      </c>
      <c r="C682" s="28">
        <v>0</v>
      </c>
      <c r="D682" s="12">
        <f>tb_Auditoria[[#This Row],[% TAXA RELATÓRIO]]*tb_Auditoria[[#This Row],[VALOR CRÉDITO]]</f>
        <v>0</v>
      </c>
      <c r="E682" s="13">
        <v>46174</v>
      </c>
      <c r="F682" s="13" t="s">
        <v>17</v>
      </c>
      <c r="G68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8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2" s="19">
        <f>IFERROR(INDEX([1]!tb_Vendas[Crédito],MATCH(tb_Auditoria[[#This Row],[Nº CONTRATO]],[1]!tb_Vendas[Nº Contrato],0)),0)</f>
        <v>272334.03000000003</v>
      </c>
      <c r="K682" s="21">
        <f>IFERROR(tb_Auditoria[[#This Row],[VALOR ESPERADO]] / tb_Auditoria[[#This Row],[VALOR CRÉDITO]], 0)</f>
        <v>0</v>
      </c>
      <c r="L682" s="19" t="e">
        <f>SUMIFS([1]!Motor_Comissão[Valor Previsto],[1]!Motor_Comissão[Chave], tb_Auditoria[[#This Row],[Nº CONTRATO]]&amp;"-"&amp;tb_Auditoria[[#This Row],[PARCELA ATUAL]])</f>
        <v>#REF!</v>
      </c>
      <c r="M682" s="19" t="e">
        <f>tb_Auditoria[[#This Row],[VALOR PAGO]] - tb_Auditoria[[#This Row],[VALOR ESPERADO]]</f>
        <v>#REF!</v>
      </c>
      <c r="N6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3" spans="1:15">
      <c r="A683" s="9">
        <v>1142603</v>
      </c>
      <c r="B683" s="10">
        <v>6</v>
      </c>
      <c r="C683" s="28">
        <v>0</v>
      </c>
      <c r="D683" s="12">
        <f>tb_Auditoria[[#This Row],[% TAXA RELATÓRIO]]*tb_Auditoria[[#This Row],[VALOR CRÉDITO]]</f>
        <v>0</v>
      </c>
      <c r="E683" s="13">
        <v>46174</v>
      </c>
      <c r="F683" s="13" t="s">
        <v>17</v>
      </c>
      <c r="G68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8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3" s="19">
        <f>IFERROR(INDEX([1]!tb_Vendas[Crédito],MATCH(tb_Auditoria[[#This Row],[Nº CONTRATO]],[1]!tb_Vendas[Nº Contrato],0)),0)</f>
        <v>272334.03000000003</v>
      </c>
      <c r="K683" s="21">
        <f>IFERROR(tb_Auditoria[[#This Row],[VALOR ESPERADO]] / tb_Auditoria[[#This Row],[VALOR CRÉDITO]], 0)</f>
        <v>0</v>
      </c>
      <c r="L683" s="19" t="e">
        <f>SUMIFS([1]!Motor_Comissão[Valor Previsto],[1]!Motor_Comissão[Chave], tb_Auditoria[[#This Row],[Nº CONTRATO]]&amp;"-"&amp;tb_Auditoria[[#This Row],[PARCELA ATUAL]])</f>
        <v>#REF!</v>
      </c>
      <c r="M683" s="19" t="e">
        <f>tb_Auditoria[[#This Row],[VALOR PAGO]] - tb_Auditoria[[#This Row],[VALOR ESPERADO]]</f>
        <v>#REF!</v>
      </c>
      <c r="N6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4" spans="1:15">
      <c r="A684" s="9">
        <v>1142603</v>
      </c>
      <c r="B684" s="10">
        <v>7</v>
      </c>
      <c r="C684" s="28">
        <v>0</v>
      </c>
      <c r="D684" s="12">
        <f>tb_Auditoria[[#This Row],[% TAXA RELATÓRIO]]*tb_Auditoria[[#This Row],[VALOR CRÉDITO]]</f>
        <v>0</v>
      </c>
      <c r="E684" s="13">
        <v>46174</v>
      </c>
      <c r="F684" s="13" t="s">
        <v>17</v>
      </c>
      <c r="G68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8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4" s="19">
        <f>IFERROR(INDEX([1]!tb_Vendas[Crédito],MATCH(tb_Auditoria[[#This Row],[Nº CONTRATO]],[1]!tb_Vendas[Nº Contrato],0)),0)</f>
        <v>272334.03000000003</v>
      </c>
      <c r="K684" s="21">
        <f>IFERROR(tb_Auditoria[[#This Row],[VALOR ESPERADO]] / tb_Auditoria[[#This Row],[VALOR CRÉDITO]], 0)</f>
        <v>0</v>
      </c>
      <c r="L684" s="19" t="e">
        <f>SUMIFS([1]!Motor_Comissão[Valor Previsto],[1]!Motor_Comissão[Chave], tb_Auditoria[[#This Row],[Nº CONTRATO]]&amp;"-"&amp;tb_Auditoria[[#This Row],[PARCELA ATUAL]])</f>
        <v>#REF!</v>
      </c>
      <c r="M684" s="19" t="e">
        <f>tb_Auditoria[[#This Row],[VALOR PAGO]] - tb_Auditoria[[#This Row],[VALOR ESPERADO]]</f>
        <v>#REF!</v>
      </c>
      <c r="N6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5" spans="1:15">
      <c r="A685" s="9">
        <v>1142603</v>
      </c>
      <c r="B685" s="10">
        <v>8</v>
      </c>
      <c r="C685" s="28">
        <v>0</v>
      </c>
      <c r="D685" s="12">
        <f>tb_Auditoria[[#This Row],[% TAXA RELATÓRIO]]*tb_Auditoria[[#This Row],[VALOR CRÉDITO]]</f>
        <v>0</v>
      </c>
      <c r="E685" s="13">
        <v>46174</v>
      </c>
      <c r="F685" s="13" t="s">
        <v>17</v>
      </c>
      <c r="G68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8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5" s="19">
        <f>IFERROR(INDEX([1]!tb_Vendas[Crédito],MATCH(tb_Auditoria[[#This Row],[Nº CONTRATO]],[1]!tb_Vendas[Nº Contrato],0)),0)</f>
        <v>272334.03000000003</v>
      </c>
      <c r="K685" s="21">
        <f>IFERROR(tb_Auditoria[[#This Row],[VALOR ESPERADO]] / tb_Auditoria[[#This Row],[VALOR CRÉDITO]], 0)</f>
        <v>0</v>
      </c>
      <c r="L685" s="19" t="e">
        <f>SUMIFS([1]!Motor_Comissão[Valor Previsto],[1]!Motor_Comissão[Chave], tb_Auditoria[[#This Row],[Nº CONTRATO]]&amp;"-"&amp;tb_Auditoria[[#This Row],[PARCELA ATUAL]])</f>
        <v>#REF!</v>
      </c>
      <c r="M685" s="19" t="e">
        <f>tb_Auditoria[[#This Row],[VALOR PAGO]] - tb_Auditoria[[#This Row],[VALOR ESPERADO]]</f>
        <v>#REF!</v>
      </c>
      <c r="N6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6" spans="1:15">
      <c r="A686" s="9">
        <v>1142603</v>
      </c>
      <c r="B686" s="10">
        <v>9</v>
      </c>
      <c r="C686" s="28">
        <v>0</v>
      </c>
      <c r="D686" s="12">
        <f>tb_Auditoria[[#This Row],[% TAXA RELATÓRIO]]*tb_Auditoria[[#This Row],[VALOR CRÉDITO]]</f>
        <v>0</v>
      </c>
      <c r="E686" s="13">
        <v>46174</v>
      </c>
      <c r="F686" s="13" t="s">
        <v>17</v>
      </c>
      <c r="G68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8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6" s="19">
        <f>IFERROR(INDEX([1]!tb_Vendas[Crédito],MATCH(tb_Auditoria[[#This Row],[Nº CONTRATO]],[1]!tb_Vendas[Nº Contrato],0)),0)</f>
        <v>272334.03000000003</v>
      </c>
      <c r="K686" s="21">
        <f>IFERROR(tb_Auditoria[[#This Row],[VALOR ESPERADO]] / tb_Auditoria[[#This Row],[VALOR CRÉDITO]], 0)</f>
        <v>0</v>
      </c>
      <c r="L686" s="19" t="e">
        <f>SUMIFS([1]!Motor_Comissão[Valor Previsto],[1]!Motor_Comissão[Chave], tb_Auditoria[[#This Row],[Nº CONTRATO]]&amp;"-"&amp;tb_Auditoria[[#This Row],[PARCELA ATUAL]])</f>
        <v>#REF!</v>
      </c>
      <c r="M686" s="19" t="e">
        <f>tb_Auditoria[[#This Row],[VALOR PAGO]] - tb_Auditoria[[#This Row],[VALOR ESPERADO]]</f>
        <v>#REF!</v>
      </c>
      <c r="N6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7" spans="1:15">
      <c r="A687" s="9">
        <v>1142603</v>
      </c>
      <c r="B687" s="10">
        <v>10</v>
      </c>
      <c r="C687" s="28">
        <v>0</v>
      </c>
      <c r="D687" s="12">
        <f>tb_Auditoria[[#This Row],[% TAXA RELATÓRIO]]*tb_Auditoria[[#This Row],[VALOR CRÉDITO]]</f>
        <v>0</v>
      </c>
      <c r="E687" s="13">
        <v>46174</v>
      </c>
      <c r="F687" s="13" t="s">
        <v>17</v>
      </c>
      <c r="G68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8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7" s="19">
        <f>IFERROR(INDEX([1]!tb_Vendas[Crédito],MATCH(tb_Auditoria[[#This Row],[Nº CONTRATO]],[1]!tb_Vendas[Nº Contrato],0)),0)</f>
        <v>272334.03000000003</v>
      </c>
      <c r="K687" s="21">
        <f>IFERROR(tb_Auditoria[[#This Row],[VALOR ESPERADO]] / tb_Auditoria[[#This Row],[VALOR CRÉDITO]], 0)</f>
        <v>0</v>
      </c>
      <c r="L687" s="19" t="e">
        <f>SUMIFS([1]!Motor_Comissão[Valor Previsto],[1]!Motor_Comissão[Chave], tb_Auditoria[[#This Row],[Nº CONTRATO]]&amp;"-"&amp;tb_Auditoria[[#This Row],[PARCELA ATUAL]])</f>
        <v>#REF!</v>
      </c>
      <c r="M687" s="19" t="e">
        <f>tb_Auditoria[[#This Row],[VALOR PAGO]] - tb_Auditoria[[#This Row],[VALOR ESPERADO]]</f>
        <v>#REF!</v>
      </c>
      <c r="N6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8" spans="1:15">
      <c r="A688" s="9">
        <v>1142605</v>
      </c>
      <c r="B688" s="10">
        <v>4</v>
      </c>
      <c r="C688" s="28">
        <v>0</v>
      </c>
      <c r="D688" s="12">
        <f>tb_Auditoria[[#This Row],[% TAXA RELATÓRIO]]*tb_Auditoria[[#This Row],[VALOR CRÉDITO]]</f>
        <v>0</v>
      </c>
      <c r="E688" s="13">
        <v>46174</v>
      </c>
      <c r="F688" s="13" t="s">
        <v>17</v>
      </c>
      <c r="G68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8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8" s="19">
        <f>IFERROR(INDEX([1]!tb_Vendas[Crédito],MATCH(tb_Auditoria[[#This Row],[Nº CONTRATO]],[1]!tb_Vendas[Nº Contrato],0)),0)</f>
        <v>711575.38</v>
      </c>
      <c r="K688" s="21">
        <f>IFERROR(tb_Auditoria[[#This Row],[VALOR ESPERADO]] / tb_Auditoria[[#This Row],[VALOR CRÉDITO]], 0)</f>
        <v>0</v>
      </c>
      <c r="L688" s="19" t="e">
        <f>SUMIFS([1]!Motor_Comissão[Valor Previsto],[1]!Motor_Comissão[Chave], tb_Auditoria[[#This Row],[Nº CONTRATO]]&amp;"-"&amp;tb_Auditoria[[#This Row],[PARCELA ATUAL]])</f>
        <v>#REF!</v>
      </c>
      <c r="M688" s="19" t="e">
        <f>tb_Auditoria[[#This Row],[VALOR PAGO]] - tb_Auditoria[[#This Row],[VALOR ESPERADO]]</f>
        <v>#REF!</v>
      </c>
      <c r="N6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89" spans="1:15">
      <c r="A689" s="9">
        <v>1142605</v>
      </c>
      <c r="B689" s="10">
        <v>5</v>
      </c>
      <c r="C689" s="28">
        <v>0</v>
      </c>
      <c r="D689" s="12">
        <f>tb_Auditoria[[#This Row],[% TAXA RELATÓRIO]]*tb_Auditoria[[#This Row],[VALOR CRÉDITO]]</f>
        <v>0</v>
      </c>
      <c r="E689" s="13">
        <v>46174</v>
      </c>
      <c r="F689" s="13" t="s">
        <v>17</v>
      </c>
      <c r="G68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8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8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89" s="19">
        <f>IFERROR(INDEX([1]!tb_Vendas[Crédito],MATCH(tb_Auditoria[[#This Row],[Nº CONTRATO]],[1]!tb_Vendas[Nº Contrato],0)),0)</f>
        <v>711575.38</v>
      </c>
      <c r="K689" s="21">
        <f>IFERROR(tb_Auditoria[[#This Row],[VALOR ESPERADO]] / tb_Auditoria[[#This Row],[VALOR CRÉDITO]], 0)</f>
        <v>0</v>
      </c>
      <c r="L689" s="19" t="e">
        <f>SUMIFS([1]!Motor_Comissão[Valor Previsto],[1]!Motor_Comissão[Chave], tb_Auditoria[[#This Row],[Nº CONTRATO]]&amp;"-"&amp;tb_Auditoria[[#This Row],[PARCELA ATUAL]])</f>
        <v>#REF!</v>
      </c>
      <c r="M689" s="19" t="e">
        <f>tb_Auditoria[[#This Row],[VALOR PAGO]] - tb_Auditoria[[#This Row],[VALOR ESPERADO]]</f>
        <v>#REF!</v>
      </c>
      <c r="N6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0" spans="1:15">
      <c r="A690" s="9">
        <v>1142605</v>
      </c>
      <c r="B690" s="10">
        <v>6</v>
      </c>
      <c r="C690" s="28">
        <v>0</v>
      </c>
      <c r="D690" s="12">
        <f>tb_Auditoria[[#This Row],[% TAXA RELATÓRIO]]*tb_Auditoria[[#This Row],[VALOR CRÉDITO]]</f>
        <v>0</v>
      </c>
      <c r="E690" s="13">
        <v>46174</v>
      </c>
      <c r="F690" s="13" t="s">
        <v>17</v>
      </c>
      <c r="G69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9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0" s="19">
        <f>IFERROR(INDEX([1]!tb_Vendas[Crédito],MATCH(tb_Auditoria[[#This Row],[Nº CONTRATO]],[1]!tb_Vendas[Nº Contrato],0)),0)</f>
        <v>711575.38</v>
      </c>
      <c r="K690" s="21">
        <f>IFERROR(tb_Auditoria[[#This Row],[VALOR ESPERADO]] / tb_Auditoria[[#This Row],[VALOR CRÉDITO]], 0)</f>
        <v>0</v>
      </c>
      <c r="L690" s="19" t="e">
        <f>SUMIFS([1]!Motor_Comissão[Valor Previsto],[1]!Motor_Comissão[Chave], tb_Auditoria[[#This Row],[Nº CONTRATO]]&amp;"-"&amp;tb_Auditoria[[#This Row],[PARCELA ATUAL]])</f>
        <v>#REF!</v>
      </c>
      <c r="M690" s="19" t="e">
        <f>tb_Auditoria[[#This Row],[VALOR PAGO]] - tb_Auditoria[[#This Row],[VALOR ESPERADO]]</f>
        <v>#REF!</v>
      </c>
      <c r="N6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1" spans="1:15">
      <c r="A691" s="9">
        <v>1142605</v>
      </c>
      <c r="B691" s="10">
        <v>7</v>
      </c>
      <c r="C691" s="28">
        <v>0</v>
      </c>
      <c r="D691" s="12">
        <f>tb_Auditoria[[#This Row],[% TAXA RELATÓRIO]]*tb_Auditoria[[#This Row],[VALOR CRÉDITO]]</f>
        <v>0</v>
      </c>
      <c r="E691" s="13">
        <v>46174</v>
      </c>
      <c r="F691" s="13" t="s">
        <v>17</v>
      </c>
      <c r="G69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9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1" s="19">
        <f>IFERROR(INDEX([1]!tb_Vendas[Crédito],MATCH(tb_Auditoria[[#This Row],[Nº CONTRATO]],[1]!tb_Vendas[Nº Contrato],0)),0)</f>
        <v>711575.38</v>
      </c>
      <c r="K691" s="21">
        <f>IFERROR(tb_Auditoria[[#This Row],[VALOR ESPERADO]] / tb_Auditoria[[#This Row],[VALOR CRÉDITO]], 0)</f>
        <v>0</v>
      </c>
      <c r="L691" s="19" t="e">
        <f>SUMIFS([1]!Motor_Comissão[Valor Previsto],[1]!Motor_Comissão[Chave], tb_Auditoria[[#This Row],[Nº CONTRATO]]&amp;"-"&amp;tb_Auditoria[[#This Row],[PARCELA ATUAL]])</f>
        <v>#REF!</v>
      </c>
      <c r="M691" s="19" t="e">
        <f>tb_Auditoria[[#This Row],[VALOR PAGO]] - tb_Auditoria[[#This Row],[VALOR ESPERADO]]</f>
        <v>#REF!</v>
      </c>
      <c r="N6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2" spans="1:15">
      <c r="A692" s="9">
        <v>1142605</v>
      </c>
      <c r="B692" s="10">
        <v>8</v>
      </c>
      <c r="C692" s="28">
        <v>0</v>
      </c>
      <c r="D692" s="12">
        <f>tb_Auditoria[[#This Row],[% TAXA RELATÓRIO]]*tb_Auditoria[[#This Row],[VALOR CRÉDITO]]</f>
        <v>0</v>
      </c>
      <c r="E692" s="13">
        <v>46174</v>
      </c>
      <c r="F692" s="13" t="s">
        <v>17</v>
      </c>
      <c r="G69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9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2" s="19">
        <f>IFERROR(INDEX([1]!tb_Vendas[Crédito],MATCH(tb_Auditoria[[#This Row],[Nº CONTRATO]],[1]!tb_Vendas[Nº Contrato],0)),0)</f>
        <v>711575.38</v>
      </c>
      <c r="K692" s="21">
        <f>IFERROR(tb_Auditoria[[#This Row],[VALOR ESPERADO]] / tb_Auditoria[[#This Row],[VALOR CRÉDITO]], 0)</f>
        <v>0</v>
      </c>
      <c r="L692" s="19" t="e">
        <f>SUMIFS([1]!Motor_Comissão[Valor Previsto],[1]!Motor_Comissão[Chave], tb_Auditoria[[#This Row],[Nº CONTRATO]]&amp;"-"&amp;tb_Auditoria[[#This Row],[PARCELA ATUAL]])</f>
        <v>#REF!</v>
      </c>
      <c r="M692" s="19" t="e">
        <f>tb_Auditoria[[#This Row],[VALOR PAGO]] - tb_Auditoria[[#This Row],[VALOR ESPERADO]]</f>
        <v>#REF!</v>
      </c>
      <c r="N6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3" spans="1:15">
      <c r="A693" s="9">
        <v>1142605</v>
      </c>
      <c r="B693" s="10">
        <v>9</v>
      </c>
      <c r="C693" s="28">
        <v>0</v>
      </c>
      <c r="D693" s="12">
        <f>tb_Auditoria[[#This Row],[% TAXA RELATÓRIO]]*tb_Auditoria[[#This Row],[VALOR CRÉDITO]]</f>
        <v>0</v>
      </c>
      <c r="E693" s="13">
        <v>46174</v>
      </c>
      <c r="F693" s="13" t="s">
        <v>17</v>
      </c>
      <c r="G69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9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3" s="19">
        <f>IFERROR(INDEX([1]!tb_Vendas[Crédito],MATCH(tb_Auditoria[[#This Row],[Nº CONTRATO]],[1]!tb_Vendas[Nº Contrato],0)),0)</f>
        <v>711575.38</v>
      </c>
      <c r="K693" s="21">
        <f>IFERROR(tb_Auditoria[[#This Row],[VALOR ESPERADO]] / tb_Auditoria[[#This Row],[VALOR CRÉDITO]], 0)</f>
        <v>0</v>
      </c>
      <c r="L693" s="19" t="e">
        <f>SUMIFS([1]!Motor_Comissão[Valor Previsto],[1]!Motor_Comissão[Chave], tb_Auditoria[[#This Row],[Nº CONTRATO]]&amp;"-"&amp;tb_Auditoria[[#This Row],[PARCELA ATUAL]])</f>
        <v>#REF!</v>
      </c>
      <c r="M693" s="19" t="e">
        <f>tb_Auditoria[[#This Row],[VALOR PAGO]] - tb_Auditoria[[#This Row],[VALOR ESPERADO]]</f>
        <v>#REF!</v>
      </c>
      <c r="N6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4" spans="1:15">
      <c r="A694" s="9">
        <v>1142605</v>
      </c>
      <c r="B694" s="10">
        <v>10</v>
      </c>
      <c r="C694" s="28">
        <v>0</v>
      </c>
      <c r="D694" s="12">
        <f>tb_Auditoria[[#This Row],[% TAXA RELATÓRIO]]*tb_Auditoria[[#This Row],[VALOR CRÉDITO]]</f>
        <v>0</v>
      </c>
      <c r="E694" s="13">
        <v>46174</v>
      </c>
      <c r="F694" s="13" t="s">
        <v>17</v>
      </c>
      <c r="G69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9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4" s="19">
        <f>IFERROR(INDEX([1]!tb_Vendas[Crédito],MATCH(tb_Auditoria[[#This Row],[Nº CONTRATO]],[1]!tb_Vendas[Nº Contrato],0)),0)</f>
        <v>711575.38</v>
      </c>
      <c r="K694" s="21">
        <f>IFERROR(tb_Auditoria[[#This Row],[VALOR ESPERADO]] / tb_Auditoria[[#This Row],[VALOR CRÉDITO]], 0)</f>
        <v>0</v>
      </c>
      <c r="L694" s="19" t="e">
        <f>SUMIFS([1]!Motor_Comissão[Valor Previsto],[1]!Motor_Comissão[Chave], tb_Auditoria[[#This Row],[Nº CONTRATO]]&amp;"-"&amp;tb_Auditoria[[#This Row],[PARCELA ATUAL]])</f>
        <v>#REF!</v>
      </c>
      <c r="M694" s="19" t="e">
        <f>tb_Auditoria[[#This Row],[VALOR PAGO]] - tb_Auditoria[[#This Row],[VALOR ESPERADO]]</f>
        <v>#REF!</v>
      </c>
      <c r="N69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5" spans="1:15">
      <c r="A695" s="9">
        <v>1142606</v>
      </c>
      <c r="B695" s="10">
        <v>4</v>
      </c>
      <c r="C695" s="28">
        <v>0</v>
      </c>
      <c r="D695" s="12">
        <f>tb_Auditoria[[#This Row],[% TAXA RELATÓRIO]]*tb_Auditoria[[#This Row],[VALOR CRÉDITO]]</f>
        <v>0</v>
      </c>
      <c r="E695" s="13">
        <v>46174</v>
      </c>
      <c r="F695" s="13" t="s">
        <v>17</v>
      </c>
      <c r="G69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9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5" s="19">
        <f>IFERROR(INDEX([1]!tb_Vendas[Crédito],MATCH(tb_Auditoria[[#This Row],[Nº CONTRATO]],[1]!tb_Vendas[Nº Contrato],0)),0)</f>
        <v>446683.01</v>
      </c>
      <c r="K695" s="21">
        <f>IFERROR(tb_Auditoria[[#This Row],[VALOR ESPERADO]] / tb_Auditoria[[#This Row],[VALOR CRÉDITO]], 0)</f>
        <v>0</v>
      </c>
      <c r="L695" s="19" t="e">
        <f>SUMIFS([1]!Motor_Comissão[Valor Previsto],[1]!Motor_Comissão[Chave], tb_Auditoria[[#This Row],[Nº CONTRATO]]&amp;"-"&amp;tb_Auditoria[[#This Row],[PARCELA ATUAL]])</f>
        <v>#REF!</v>
      </c>
      <c r="M695" s="19" t="e">
        <f>tb_Auditoria[[#This Row],[VALOR PAGO]] - tb_Auditoria[[#This Row],[VALOR ESPERADO]]</f>
        <v>#REF!</v>
      </c>
      <c r="N6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6" spans="1:15">
      <c r="A696" s="9">
        <v>1142606</v>
      </c>
      <c r="B696" s="10">
        <v>5</v>
      </c>
      <c r="C696" s="28">
        <v>0</v>
      </c>
      <c r="D696" s="12">
        <f>tb_Auditoria[[#This Row],[% TAXA RELATÓRIO]]*tb_Auditoria[[#This Row],[VALOR CRÉDITO]]</f>
        <v>0</v>
      </c>
      <c r="E696" s="13">
        <v>46174</v>
      </c>
      <c r="F696" s="13" t="s">
        <v>17</v>
      </c>
      <c r="G69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9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6" s="19">
        <f>IFERROR(INDEX([1]!tb_Vendas[Crédito],MATCH(tb_Auditoria[[#This Row],[Nº CONTRATO]],[1]!tb_Vendas[Nº Contrato],0)),0)</f>
        <v>446683.01</v>
      </c>
      <c r="K696" s="21">
        <f>IFERROR(tb_Auditoria[[#This Row],[VALOR ESPERADO]] / tb_Auditoria[[#This Row],[VALOR CRÉDITO]], 0)</f>
        <v>0</v>
      </c>
      <c r="L696" s="19" t="e">
        <f>SUMIFS([1]!Motor_Comissão[Valor Previsto],[1]!Motor_Comissão[Chave], tb_Auditoria[[#This Row],[Nº CONTRATO]]&amp;"-"&amp;tb_Auditoria[[#This Row],[PARCELA ATUAL]])</f>
        <v>#REF!</v>
      </c>
      <c r="M696" s="19" t="e">
        <f>tb_Auditoria[[#This Row],[VALOR PAGO]] - tb_Auditoria[[#This Row],[VALOR ESPERADO]]</f>
        <v>#REF!</v>
      </c>
      <c r="N6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7" spans="1:15">
      <c r="A697" s="9">
        <v>1142606</v>
      </c>
      <c r="B697" s="10">
        <v>6</v>
      </c>
      <c r="C697" s="28">
        <v>0</v>
      </c>
      <c r="D697" s="12">
        <f>tb_Auditoria[[#This Row],[% TAXA RELATÓRIO]]*tb_Auditoria[[#This Row],[VALOR CRÉDITO]]</f>
        <v>0</v>
      </c>
      <c r="E697" s="13">
        <v>46174</v>
      </c>
      <c r="F697" s="13" t="s">
        <v>17</v>
      </c>
      <c r="G69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9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7" s="19">
        <f>IFERROR(INDEX([1]!tb_Vendas[Crédito],MATCH(tb_Auditoria[[#This Row],[Nº CONTRATO]],[1]!tb_Vendas[Nº Contrato],0)),0)</f>
        <v>446683.01</v>
      </c>
      <c r="K697" s="21">
        <f>IFERROR(tb_Auditoria[[#This Row],[VALOR ESPERADO]] / tb_Auditoria[[#This Row],[VALOR CRÉDITO]], 0)</f>
        <v>0</v>
      </c>
      <c r="L697" s="19" t="e">
        <f>SUMIFS([1]!Motor_Comissão[Valor Previsto],[1]!Motor_Comissão[Chave], tb_Auditoria[[#This Row],[Nº CONTRATO]]&amp;"-"&amp;tb_Auditoria[[#This Row],[PARCELA ATUAL]])</f>
        <v>#REF!</v>
      </c>
      <c r="M697" s="19" t="e">
        <f>tb_Auditoria[[#This Row],[VALOR PAGO]] - tb_Auditoria[[#This Row],[VALOR ESPERADO]]</f>
        <v>#REF!</v>
      </c>
      <c r="N6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8" spans="1:15">
      <c r="A698" s="9">
        <v>1142606</v>
      </c>
      <c r="B698" s="10">
        <v>7</v>
      </c>
      <c r="C698" s="28">
        <v>0</v>
      </c>
      <c r="D698" s="12">
        <f>tb_Auditoria[[#This Row],[% TAXA RELATÓRIO]]*tb_Auditoria[[#This Row],[VALOR CRÉDITO]]</f>
        <v>0</v>
      </c>
      <c r="E698" s="13">
        <v>46174</v>
      </c>
      <c r="F698" s="13" t="s">
        <v>17</v>
      </c>
      <c r="G69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9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8" s="19">
        <f>IFERROR(INDEX([1]!tb_Vendas[Crédito],MATCH(tb_Auditoria[[#This Row],[Nº CONTRATO]],[1]!tb_Vendas[Nº Contrato],0)),0)</f>
        <v>446683.01</v>
      </c>
      <c r="K698" s="21">
        <f>IFERROR(tb_Auditoria[[#This Row],[VALOR ESPERADO]] / tb_Auditoria[[#This Row],[VALOR CRÉDITO]], 0)</f>
        <v>0</v>
      </c>
      <c r="L698" s="19" t="e">
        <f>SUMIFS([1]!Motor_Comissão[Valor Previsto],[1]!Motor_Comissão[Chave], tb_Auditoria[[#This Row],[Nº CONTRATO]]&amp;"-"&amp;tb_Auditoria[[#This Row],[PARCELA ATUAL]])</f>
        <v>#REF!</v>
      </c>
      <c r="M698" s="19" t="e">
        <f>tb_Auditoria[[#This Row],[VALOR PAGO]] - tb_Auditoria[[#This Row],[VALOR ESPERADO]]</f>
        <v>#REF!</v>
      </c>
      <c r="N6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699" spans="1:15">
      <c r="A699" s="9">
        <v>1142606</v>
      </c>
      <c r="B699" s="10">
        <v>8</v>
      </c>
      <c r="C699" s="28">
        <v>0</v>
      </c>
      <c r="D699" s="12">
        <f>tb_Auditoria[[#This Row],[% TAXA RELATÓRIO]]*tb_Auditoria[[#This Row],[VALOR CRÉDITO]]</f>
        <v>0</v>
      </c>
      <c r="E699" s="13">
        <v>46174</v>
      </c>
      <c r="F699" s="13" t="s">
        <v>17</v>
      </c>
      <c r="G69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69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69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699" s="19">
        <f>IFERROR(INDEX([1]!tb_Vendas[Crédito],MATCH(tb_Auditoria[[#This Row],[Nº CONTRATO]],[1]!tb_Vendas[Nº Contrato],0)),0)</f>
        <v>446683.01</v>
      </c>
      <c r="K699" s="21">
        <f>IFERROR(tb_Auditoria[[#This Row],[VALOR ESPERADO]] / tb_Auditoria[[#This Row],[VALOR CRÉDITO]], 0)</f>
        <v>0</v>
      </c>
      <c r="L699" s="19" t="e">
        <f>SUMIFS([1]!Motor_Comissão[Valor Previsto],[1]!Motor_Comissão[Chave], tb_Auditoria[[#This Row],[Nº CONTRATO]]&amp;"-"&amp;tb_Auditoria[[#This Row],[PARCELA ATUAL]])</f>
        <v>#REF!</v>
      </c>
      <c r="M699" s="19" t="e">
        <f>tb_Auditoria[[#This Row],[VALOR PAGO]] - tb_Auditoria[[#This Row],[VALOR ESPERADO]]</f>
        <v>#REF!</v>
      </c>
      <c r="N6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6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0" spans="1:15">
      <c r="A700" s="9">
        <v>1142606</v>
      </c>
      <c r="B700" s="10">
        <v>9</v>
      </c>
      <c r="C700" s="28">
        <v>0</v>
      </c>
      <c r="D700" s="12">
        <f>tb_Auditoria[[#This Row],[% TAXA RELATÓRIO]]*tb_Auditoria[[#This Row],[VALOR CRÉDITO]]</f>
        <v>0</v>
      </c>
      <c r="E700" s="13">
        <v>46174</v>
      </c>
      <c r="F700" s="13" t="s">
        <v>17</v>
      </c>
      <c r="G70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0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0" s="19">
        <f>IFERROR(INDEX([1]!tb_Vendas[Crédito],MATCH(tb_Auditoria[[#This Row],[Nº CONTRATO]],[1]!tb_Vendas[Nº Contrato],0)),0)</f>
        <v>446683.01</v>
      </c>
      <c r="K700" s="21">
        <f>IFERROR(tb_Auditoria[[#This Row],[VALOR ESPERADO]] / tb_Auditoria[[#This Row],[VALOR CRÉDITO]], 0)</f>
        <v>0</v>
      </c>
      <c r="L700" s="19" t="e">
        <f>SUMIFS([1]!Motor_Comissão[Valor Previsto],[1]!Motor_Comissão[Chave], tb_Auditoria[[#This Row],[Nº CONTRATO]]&amp;"-"&amp;tb_Auditoria[[#This Row],[PARCELA ATUAL]])</f>
        <v>#REF!</v>
      </c>
      <c r="M700" s="19" t="e">
        <f>tb_Auditoria[[#This Row],[VALOR PAGO]] - tb_Auditoria[[#This Row],[VALOR ESPERADO]]</f>
        <v>#REF!</v>
      </c>
      <c r="N7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1" spans="1:15">
      <c r="A701" s="9">
        <v>1142606</v>
      </c>
      <c r="B701" s="10">
        <v>10</v>
      </c>
      <c r="C701" s="28">
        <v>0</v>
      </c>
      <c r="D701" s="12">
        <f>tb_Auditoria[[#This Row],[% TAXA RELATÓRIO]]*tb_Auditoria[[#This Row],[VALOR CRÉDITO]]</f>
        <v>0</v>
      </c>
      <c r="E701" s="13">
        <v>46174</v>
      </c>
      <c r="F701" s="13" t="s">
        <v>17</v>
      </c>
      <c r="G70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0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1" s="19">
        <f>IFERROR(INDEX([1]!tb_Vendas[Crédito],MATCH(tb_Auditoria[[#This Row],[Nº CONTRATO]],[1]!tb_Vendas[Nº Contrato],0)),0)</f>
        <v>446683.01</v>
      </c>
      <c r="K701" s="21">
        <f>IFERROR(tb_Auditoria[[#This Row],[VALOR ESPERADO]] / tb_Auditoria[[#This Row],[VALOR CRÉDITO]], 0)</f>
        <v>0</v>
      </c>
      <c r="L701" s="19" t="e">
        <f>SUMIFS([1]!Motor_Comissão[Valor Previsto],[1]!Motor_Comissão[Chave], tb_Auditoria[[#This Row],[Nº CONTRATO]]&amp;"-"&amp;tb_Auditoria[[#This Row],[PARCELA ATUAL]])</f>
        <v>#REF!</v>
      </c>
      <c r="M701" s="19" t="e">
        <f>tb_Auditoria[[#This Row],[VALOR PAGO]] - tb_Auditoria[[#This Row],[VALOR ESPERADO]]</f>
        <v>#REF!</v>
      </c>
      <c r="N7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2" spans="1:15">
      <c r="A702" s="9">
        <v>1142607</v>
      </c>
      <c r="B702" s="10">
        <v>4</v>
      </c>
      <c r="C702" s="28">
        <v>0</v>
      </c>
      <c r="D702" s="12">
        <f>tb_Auditoria[[#This Row],[% TAXA RELATÓRIO]]*tb_Auditoria[[#This Row],[VALOR CRÉDITO]]</f>
        <v>0</v>
      </c>
      <c r="E702" s="13">
        <v>46174</v>
      </c>
      <c r="F702" s="13" t="s">
        <v>17</v>
      </c>
      <c r="G70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0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2" s="19">
        <f>IFERROR(INDEX([1]!tb_Vendas[Crédito],MATCH(tb_Auditoria[[#This Row],[Nº CONTRATO]],[1]!tb_Vendas[Nº Contrato],0)),0)</f>
        <v>446683.01</v>
      </c>
      <c r="K702" s="21">
        <f>IFERROR(tb_Auditoria[[#This Row],[VALOR ESPERADO]] / tb_Auditoria[[#This Row],[VALOR CRÉDITO]], 0)</f>
        <v>0</v>
      </c>
      <c r="L702" s="19" t="e">
        <f>SUMIFS([1]!Motor_Comissão[Valor Previsto],[1]!Motor_Comissão[Chave], tb_Auditoria[[#This Row],[Nº CONTRATO]]&amp;"-"&amp;tb_Auditoria[[#This Row],[PARCELA ATUAL]])</f>
        <v>#REF!</v>
      </c>
      <c r="M702" s="19" t="e">
        <f>tb_Auditoria[[#This Row],[VALOR PAGO]] - tb_Auditoria[[#This Row],[VALOR ESPERADO]]</f>
        <v>#REF!</v>
      </c>
      <c r="N7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3" spans="1:15">
      <c r="A703" s="9">
        <v>1142607</v>
      </c>
      <c r="B703" s="10">
        <v>5</v>
      </c>
      <c r="C703" s="28">
        <v>0</v>
      </c>
      <c r="D703" s="12">
        <f>tb_Auditoria[[#This Row],[% TAXA RELATÓRIO]]*tb_Auditoria[[#This Row],[VALOR CRÉDITO]]</f>
        <v>0</v>
      </c>
      <c r="E703" s="13">
        <v>46174</v>
      </c>
      <c r="F703" s="13" t="s">
        <v>17</v>
      </c>
      <c r="G70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0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3" s="19">
        <f>IFERROR(INDEX([1]!tb_Vendas[Crédito],MATCH(tb_Auditoria[[#This Row],[Nº CONTRATO]],[1]!tb_Vendas[Nº Contrato],0)),0)</f>
        <v>446683.01</v>
      </c>
      <c r="K703" s="21">
        <f>IFERROR(tb_Auditoria[[#This Row],[VALOR ESPERADO]] / tb_Auditoria[[#This Row],[VALOR CRÉDITO]], 0)</f>
        <v>0</v>
      </c>
      <c r="L703" s="19" t="e">
        <f>SUMIFS([1]!Motor_Comissão[Valor Previsto],[1]!Motor_Comissão[Chave], tb_Auditoria[[#This Row],[Nº CONTRATO]]&amp;"-"&amp;tb_Auditoria[[#This Row],[PARCELA ATUAL]])</f>
        <v>#REF!</v>
      </c>
      <c r="M703" s="19" t="e">
        <f>tb_Auditoria[[#This Row],[VALOR PAGO]] - tb_Auditoria[[#This Row],[VALOR ESPERADO]]</f>
        <v>#REF!</v>
      </c>
      <c r="N7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4" spans="1:15">
      <c r="A704" s="9">
        <v>1142607</v>
      </c>
      <c r="B704" s="10">
        <v>6</v>
      </c>
      <c r="C704" s="28">
        <v>0</v>
      </c>
      <c r="D704" s="12">
        <f>tb_Auditoria[[#This Row],[% TAXA RELATÓRIO]]*tb_Auditoria[[#This Row],[VALOR CRÉDITO]]</f>
        <v>0</v>
      </c>
      <c r="E704" s="13">
        <v>46174</v>
      </c>
      <c r="F704" s="13" t="s">
        <v>17</v>
      </c>
      <c r="G70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0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4" s="19">
        <f>IFERROR(INDEX([1]!tb_Vendas[Crédito],MATCH(tb_Auditoria[[#This Row],[Nº CONTRATO]],[1]!tb_Vendas[Nº Contrato],0)),0)</f>
        <v>446683.01</v>
      </c>
      <c r="K704" s="21">
        <f>IFERROR(tb_Auditoria[[#This Row],[VALOR ESPERADO]] / tb_Auditoria[[#This Row],[VALOR CRÉDITO]], 0)</f>
        <v>0</v>
      </c>
      <c r="L704" s="19" t="e">
        <f>SUMIFS([1]!Motor_Comissão[Valor Previsto],[1]!Motor_Comissão[Chave], tb_Auditoria[[#This Row],[Nº CONTRATO]]&amp;"-"&amp;tb_Auditoria[[#This Row],[PARCELA ATUAL]])</f>
        <v>#REF!</v>
      </c>
      <c r="M704" s="19" t="e">
        <f>tb_Auditoria[[#This Row],[VALOR PAGO]] - tb_Auditoria[[#This Row],[VALOR ESPERADO]]</f>
        <v>#REF!</v>
      </c>
      <c r="N7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5" spans="1:15">
      <c r="A705" s="9">
        <v>1142607</v>
      </c>
      <c r="B705" s="10">
        <v>7</v>
      </c>
      <c r="C705" s="28">
        <v>0</v>
      </c>
      <c r="D705" s="12">
        <f>tb_Auditoria[[#This Row],[% TAXA RELATÓRIO]]*tb_Auditoria[[#This Row],[VALOR CRÉDITO]]</f>
        <v>0</v>
      </c>
      <c r="E705" s="13">
        <v>46174</v>
      </c>
      <c r="F705" s="13" t="s">
        <v>17</v>
      </c>
      <c r="G70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0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5" s="19">
        <f>IFERROR(INDEX([1]!tb_Vendas[Crédito],MATCH(tb_Auditoria[[#This Row],[Nº CONTRATO]],[1]!tb_Vendas[Nº Contrato],0)),0)</f>
        <v>446683.01</v>
      </c>
      <c r="K705" s="21">
        <f>IFERROR(tb_Auditoria[[#This Row],[VALOR ESPERADO]] / tb_Auditoria[[#This Row],[VALOR CRÉDITO]], 0)</f>
        <v>0</v>
      </c>
      <c r="L705" s="19" t="e">
        <f>SUMIFS([1]!Motor_Comissão[Valor Previsto],[1]!Motor_Comissão[Chave], tb_Auditoria[[#This Row],[Nº CONTRATO]]&amp;"-"&amp;tb_Auditoria[[#This Row],[PARCELA ATUAL]])</f>
        <v>#REF!</v>
      </c>
      <c r="M705" s="19" t="e">
        <f>tb_Auditoria[[#This Row],[VALOR PAGO]] - tb_Auditoria[[#This Row],[VALOR ESPERADO]]</f>
        <v>#REF!</v>
      </c>
      <c r="N7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6" spans="1:15">
      <c r="A706" s="9">
        <v>1142607</v>
      </c>
      <c r="B706" s="10">
        <v>8</v>
      </c>
      <c r="C706" s="28">
        <v>0</v>
      </c>
      <c r="D706" s="12">
        <f>tb_Auditoria[[#This Row],[% TAXA RELATÓRIO]]*tb_Auditoria[[#This Row],[VALOR CRÉDITO]]</f>
        <v>0</v>
      </c>
      <c r="E706" s="13">
        <v>46174</v>
      </c>
      <c r="F706" s="13" t="s">
        <v>17</v>
      </c>
      <c r="G70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0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6" s="19">
        <f>IFERROR(INDEX([1]!tb_Vendas[Crédito],MATCH(tb_Auditoria[[#This Row],[Nº CONTRATO]],[1]!tb_Vendas[Nº Contrato],0)),0)</f>
        <v>446683.01</v>
      </c>
      <c r="K706" s="21">
        <f>IFERROR(tb_Auditoria[[#This Row],[VALOR ESPERADO]] / tb_Auditoria[[#This Row],[VALOR CRÉDITO]], 0)</f>
        <v>0</v>
      </c>
      <c r="L706" s="19" t="e">
        <f>SUMIFS([1]!Motor_Comissão[Valor Previsto],[1]!Motor_Comissão[Chave], tb_Auditoria[[#This Row],[Nº CONTRATO]]&amp;"-"&amp;tb_Auditoria[[#This Row],[PARCELA ATUAL]])</f>
        <v>#REF!</v>
      </c>
      <c r="M706" s="19" t="e">
        <f>tb_Auditoria[[#This Row],[VALOR PAGO]] - tb_Auditoria[[#This Row],[VALOR ESPERADO]]</f>
        <v>#REF!</v>
      </c>
      <c r="N7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7" spans="1:15">
      <c r="A707" s="9">
        <v>1142607</v>
      </c>
      <c r="B707" s="10">
        <v>9</v>
      </c>
      <c r="C707" s="28">
        <v>0</v>
      </c>
      <c r="D707" s="12">
        <f>tb_Auditoria[[#This Row],[% TAXA RELATÓRIO]]*tb_Auditoria[[#This Row],[VALOR CRÉDITO]]</f>
        <v>0</v>
      </c>
      <c r="E707" s="13">
        <v>46174</v>
      </c>
      <c r="F707" s="13" t="s">
        <v>17</v>
      </c>
      <c r="G70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0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7" s="19">
        <f>IFERROR(INDEX([1]!tb_Vendas[Crédito],MATCH(tb_Auditoria[[#This Row],[Nº CONTRATO]],[1]!tb_Vendas[Nº Contrato],0)),0)</f>
        <v>446683.01</v>
      </c>
      <c r="K707" s="21">
        <f>IFERROR(tb_Auditoria[[#This Row],[VALOR ESPERADO]] / tb_Auditoria[[#This Row],[VALOR CRÉDITO]], 0)</f>
        <v>0</v>
      </c>
      <c r="L707" s="19" t="e">
        <f>SUMIFS([1]!Motor_Comissão[Valor Previsto],[1]!Motor_Comissão[Chave], tb_Auditoria[[#This Row],[Nº CONTRATO]]&amp;"-"&amp;tb_Auditoria[[#This Row],[PARCELA ATUAL]])</f>
        <v>#REF!</v>
      </c>
      <c r="M707" s="19" t="e">
        <f>tb_Auditoria[[#This Row],[VALOR PAGO]] - tb_Auditoria[[#This Row],[VALOR ESPERADO]]</f>
        <v>#REF!</v>
      </c>
      <c r="N7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8" spans="1:15">
      <c r="A708" s="9">
        <v>1142607</v>
      </c>
      <c r="B708" s="10">
        <v>10</v>
      </c>
      <c r="C708" s="28">
        <v>0</v>
      </c>
      <c r="D708" s="12">
        <f>tb_Auditoria[[#This Row],[% TAXA RELATÓRIO]]*tb_Auditoria[[#This Row],[VALOR CRÉDITO]]</f>
        <v>0</v>
      </c>
      <c r="E708" s="13">
        <v>46174</v>
      </c>
      <c r="F708" s="13" t="s">
        <v>17</v>
      </c>
      <c r="G70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0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8" s="19">
        <f>IFERROR(INDEX([1]!tb_Vendas[Crédito],MATCH(tb_Auditoria[[#This Row],[Nº CONTRATO]],[1]!tb_Vendas[Nº Contrato],0)),0)</f>
        <v>446683.01</v>
      </c>
      <c r="K708" s="21">
        <f>IFERROR(tb_Auditoria[[#This Row],[VALOR ESPERADO]] / tb_Auditoria[[#This Row],[VALOR CRÉDITO]], 0)</f>
        <v>0</v>
      </c>
      <c r="L708" s="19" t="e">
        <f>SUMIFS([1]!Motor_Comissão[Valor Previsto],[1]!Motor_Comissão[Chave], tb_Auditoria[[#This Row],[Nº CONTRATO]]&amp;"-"&amp;tb_Auditoria[[#This Row],[PARCELA ATUAL]])</f>
        <v>#REF!</v>
      </c>
      <c r="M708" s="19" t="e">
        <f>tb_Auditoria[[#This Row],[VALOR PAGO]] - tb_Auditoria[[#This Row],[VALOR ESPERADO]]</f>
        <v>#REF!</v>
      </c>
      <c r="N7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09" spans="1:15">
      <c r="A709" s="9">
        <v>1142608</v>
      </c>
      <c r="B709" s="10">
        <v>4</v>
      </c>
      <c r="C709" s="28">
        <v>0</v>
      </c>
      <c r="D709" s="12">
        <f>tb_Auditoria[[#This Row],[% TAXA RELATÓRIO]]*tb_Auditoria[[#This Row],[VALOR CRÉDITO]]</f>
        <v>0</v>
      </c>
      <c r="E709" s="13">
        <v>46174</v>
      </c>
      <c r="F709" s="13" t="s">
        <v>17</v>
      </c>
      <c r="G70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0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0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09" s="19">
        <f>IFERROR(INDEX([1]!tb_Vendas[Crédito],MATCH(tb_Auditoria[[#This Row],[Nº CONTRATO]],[1]!tb_Vendas[Nº Contrato],0)),0)</f>
        <v>400000</v>
      </c>
      <c r="K709" s="21">
        <f>IFERROR(tb_Auditoria[[#This Row],[VALOR ESPERADO]] / tb_Auditoria[[#This Row],[VALOR CRÉDITO]], 0)</f>
        <v>0</v>
      </c>
      <c r="L709" s="19" t="e">
        <f>SUMIFS([1]!Motor_Comissão[Valor Previsto],[1]!Motor_Comissão[Chave], tb_Auditoria[[#This Row],[Nº CONTRATO]]&amp;"-"&amp;tb_Auditoria[[#This Row],[PARCELA ATUAL]])</f>
        <v>#REF!</v>
      </c>
      <c r="M709" s="19" t="e">
        <f>tb_Auditoria[[#This Row],[VALOR PAGO]] - tb_Auditoria[[#This Row],[VALOR ESPERADO]]</f>
        <v>#REF!</v>
      </c>
      <c r="N7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0" spans="1:15">
      <c r="A710" s="9">
        <v>1142608</v>
      </c>
      <c r="B710" s="10">
        <v>5</v>
      </c>
      <c r="C710" s="28">
        <v>0</v>
      </c>
      <c r="D710" s="12">
        <f>tb_Auditoria[[#This Row],[% TAXA RELATÓRIO]]*tb_Auditoria[[#This Row],[VALOR CRÉDITO]]</f>
        <v>0</v>
      </c>
      <c r="E710" s="13">
        <v>46174</v>
      </c>
      <c r="F710" s="13" t="s">
        <v>17</v>
      </c>
      <c r="G71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1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0" s="19">
        <f>IFERROR(INDEX([1]!tb_Vendas[Crédito],MATCH(tb_Auditoria[[#This Row],[Nº CONTRATO]],[1]!tb_Vendas[Nº Contrato],0)),0)</f>
        <v>400000</v>
      </c>
      <c r="K710" s="21">
        <f>IFERROR(tb_Auditoria[[#This Row],[VALOR ESPERADO]] / tb_Auditoria[[#This Row],[VALOR CRÉDITO]], 0)</f>
        <v>0</v>
      </c>
      <c r="L710" s="19" t="e">
        <f>SUMIFS([1]!Motor_Comissão[Valor Previsto],[1]!Motor_Comissão[Chave], tb_Auditoria[[#This Row],[Nº CONTRATO]]&amp;"-"&amp;tb_Auditoria[[#This Row],[PARCELA ATUAL]])</f>
        <v>#REF!</v>
      </c>
      <c r="M710" s="19" t="e">
        <f>tb_Auditoria[[#This Row],[VALOR PAGO]] - tb_Auditoria[[#This Row],[VALOR ESPERADO]]</f>
        <v>#REF!</v>
      </c>
      <c r="N7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1" spans="1:15">
      <c r="A711" s="9">
        <v>1142608</v>
      </c>
      <c r="B711" s="10">
        <v>6</v>
      </c>
      <c r="C711" s="28">
        <v>0</v>
      </c>
      <c r="D711" s="12">
        <f>tb_Auditoria[[#This Row],[% TAXA RELATÓRIO]]*tb_Auditoria[[#This Row],[VALOR CRÉDITO]]</f>
        <v>0</v>
      </c>
      <c r="E711" s="13">
        <v>46174</v>
      </c>
      <c r="F711" s="13" t="s">
        <v>17</v>
      </c>
      <c r="G71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1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1" s="19">
        <f>IFERROR(INDEX([1]!tb_Vendas[Crédito],MATCH(tb_Auditoria[[#This Row],[Nº CONTRATO]],[1]!tb_Vendas[Nº Contrato],0)),0)</f>
        <v>400000</v>
      </c>
      <c r="K711" s="21">
        <f>IFERROR(tb_Auditoria[[#This Row],[VALOR ESPERADO]] / tb_Auditoria[[#This Row],[VALOR CRÉDITO]], 0)</f>
        <v>0</v>
      </c>
      <c r="L711" s="19" t="e">
        <f>SUMIFS([1]!Motor_Comissão[Valor Previsto],[1]!Motor_Comissão[Chave], tb_Auditoria[[#This Row],[Nº CONTRATO]]&amp;"-"&amp;tb_Auditoria[[#This Row],[PARCELA ATUAL]])</f>
        <v>#REF!</v>
      </c>
      <c r="M711" s="19" t="e">
        <f>tb_Auditoria[[#This Row],[VALOR PAGO]] - tb_Auditoria[[#This Row],[VALOR ESPERADO]]</f>
        <v>#REF!</v>
      </c>
      <c r="N7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2" spans="1:15">
      <c r="A712" s="9">
        <v>1142608</v>
      </c>
      <c r="B712" s="10">
        <v>7</v>
      </c>
      <c r="C712" s="28">
        <v>0</v>
      </c>
      <c r="D712" s="12">
        <f>tb_Auditoria[[#This Row],[% TAXA RELATÓRIO]]*tb_Auditoria[[#This Row],[VALOR CRÉDITO]]</f>
        <v>0</v>
      </c>
      <c r="E712" s="13">
        <v>46174</v>
      </c>
      <c r="F712" s="13" t="s">
        <v>17</v>
      </c>
      <c r="G71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1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2" s="19">
        <f>IFERROR(INDEX([1]!tb_Vendas[Crédito],MATCH(tb_Auditoria[[#This Row],[Nº CONTRATO]],[1]!tb_Vendas[Nº Contrato],0)),0)</f>
        <v>400000</v>
      </c>
      <c r="K712" s="21">
        <f>IFERROR(tb_Auditoria[[#This Row],[VALOR ESPERADO]] / tb_Auditoria[[#This Row],[VALOR CRÉDITO]], 0)</f>
        <v>0</v>
      </c>
      <c r="L712" s="19" t="e">
        <f>SUMIFS([1]!Motor_Comissão[Valor Previsto],[1]!Motor_Comissão[Chave], tb_Auditoria[[#This Row],[Nº CONTRATO]]&amp;"-"&amp;tb_Auditoria[[#This Row],[PARCELA ATUAL]])</f>
        <v>#REF!</v>
      </c>
      <c r="M712" s="19" t="e">
        <f>tb_Auditoria[[#This Row],[VALOR PAGO]] - tb_Auditoria[[#This Row],[VALOR ESPERADO]]</f>
        <v>#REF!</v>
      </c>
      <c r="N7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3" spans="1:15">
      <c r="A713" s="9">
        <v>1142608</v>
      </c>
      <c r="B713" s="10">
        <v>8</v>
      </c>
      <c r="C713" s="28">
        <v>0</v>
      </c>
      <c r="D713" s="12">
        <f>tb_Auditoria[[#This Row],[% TAXA RELATÓRIO]]*tb_Auditoria[[#This Row],[VALOR CRÉDITO]]</f>
        <v>0</v>
      </c>
      <c r="E713" s="13">
        <v>46174</v>
      </c>
      <c r="F713" s="13" t="s">
        <v>17</v>
      </c>
      <c r="G71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1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3" s="19">
        <f>IFERROR(INDEX([1]!tb_Vendas[Crédito],MATCH(tb_Auditoria[[#This Row],[Nº CONTRATO]],[1]!tb_Vendas[Nº Contrato],0)),0)</f>
        <v>400000</v>
      </c>
      <c r="K713" s="21">
        <f>IFERROR(tb_Auditoria[[#This Row],[VALOR ESPERADO]] / tb_Auditoria[[#This Row],[VALOR CRÉDITO]], 0)</f>
        <v>0</v>
      </c>
      <c r="L713" s="19" t="e">
        <f>SUMIFS([1]!Motor_Comissão[Valor Previsto],[1]!Motor_Comissão[Chave], tb_Auditoria[[#This Row],[Nº CONTRATO]]&amp;"-"&amp;tb_Auditoria[[#This Row],[PARCELA ATUAL]])</f>
        <v>#REF!</v>
      </c>
      <c r="M713" s="19" t="e">
        <f>tb_Auditoria[[#This Row],[VALOR PAGO]] - tb_Auditoria[[#This Row],[VALOR ESPERADO]]</f>
        <v>#REF!</v>
      </c>
      <c r="N7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4" spans="1:15">
      <c r="A714" s="9">
        <v>1142608</v>
      </c>
      <c r="B714" s="10">
        <v>9</v>
      </c>
      <c r="C714" s="28">
        <v>0</v>
      </c>
      <c r="D714" s="12">
        <f>tb_Auditoria[[#This Row],[% TAXA RELATÓRIO]]*tb_Auditoria[[#This Row],[VALOR CRÉDITO]]</f>
        <v>0</v>
      </c>
      <c r="E714" s="13">
        <v>46174</v>
      </c>
      <c r="F714" s="13" t="s">
        <v>17</v>
      </c>
      <c r="G71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1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4" s="19">
        <f>IFERROR(INDEX([1]!tb_Vendas[Crédito],MATCH(tb_Auditoria[[#This Row],[Nº CONTRATO]],[1]!tb_Vendas[Nº Contrato],0)),0)</f>
        <v>400000</v>
      </c>
      <c r="K714" s="21">
        <f>IFERROR(tb_Auditoria[[#This Row],[VALOR ESPERADO]] / tb_Auditoria[[#This Row],[VALOR CRÉDITO]], 0)</f>
        <v>0</v>
      </c>
      <c r="L714" s="19" t="e">
        <f>SUMIFS([1]!Motor_Comissão[Valor Previsto],[1]!Motor_Comissão[Chave], tb_Auditoria[[#This Row],[Nº CONTRATO]]&amp;"-"&amp;tb_Auditoria[[#This Row],[PARCELA ATUAL]])</f>
        <v>#REF!</v>
      </c>
      <c r="M714" s="19" t="e">
        <f>tb_Auditoria[[#This Row],[VALOR PAGO]] - tb_Auditoria[[#This Row],[VALOR ESPERADO]]</f>
        <v>#REF!</v>
      </c>
      <c r="N7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5" spans="1:15">
      <c r="A715" s="9">
        <v>1142608</v>
      </c>
      <c r="B715" s="10">
        <v>10</v>
      </c>
      <c r="C715" s="28">
        <v>0</v>
      </c>
      <c r="D715" s="12">
        <f>tb_Auditoria[[#This Row],[% TAXA RELATÓRIO]]*tb_Auditoria[[#This Row],[VALOR CRÉDITO]]</f>
        <v>0</v>
      </c>
      <c r="E715" s="13">
        <v>46174</v>
      </c>
      <c r="F715" s="13" t="s">
        <v>17</v>
      </c>
      <c r="G71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1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5" s="19">
        <f>IFERROR(INDEX([1]!tb_Vendas[Crédito],MATCH(tb_Auditoria[[#This Row],[Nº CONTRATO]],[1]!tb_Vendas[Nº Contrato],0)),0)</f>
        <v>400000</v>
      </c>
      <c r="K715" s="21">
        <f>IFERROR(tb_Auditoria[[#This Row],[VALOR ESPERADO]] / tb_Auditoria[[#This Row],[VALOR CRÉDITO]], 0)</f>
        <v>0</v>
      </c>
      <c r="L715" s="19" t="e">
        <f>SUMIFS([1]!Motor_Comissão[Valor Previsto],[1]!Motor_Comissão[Chave], tb_Auditoria[[#This Row],[Nº CONTRATO]]&amp;"-"&amp;tb_Auditoria[[#This Row],[PARCELA ATUAL]])</f>
        <v>#REF!</v>
      </c>
      <c r="M715" s="19" t="e">
        <f>tb_Auditoria[[#This Row],[VALOR PAGO]] - tb_Auditoria[[#This Row],[VALOR ESPERADO]]</f>
        <v>#REF!</v>
      </c>
      <c r="N7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6" spans="1:15">
      <c r="A716" s="9">
        <v>1142609</v>
      </c>
      <c r="B716" s="10">
        <v>4</v>
      </c>
      <c r="C716" s="28">
        <v>0</v>
      </c>
      <c r="D716" s="12">
        <f>tb_Auditoria[[#This Row],[% TAXA RELATÓRIO]]*tb_Auditoria[[#This Row],[VALOR CRÉDITO]]</f>
        <v>0</v>
      </c>
      <c r="E716" s="13">
        <v>46174</v>
      </c>
      <c r="F716" s="13" t="s">
        <v>17</v>
      </c>
      <c r="G71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1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6" s="19">
        <f>IFERROR(INDEX([1]!tb_Vendas[Crédito],MATCH(tb_Auditoria[[#This Row],[Nº CONTRATO]],[1]!tb_Vendas[Nº Contrato],0)),0)</f>
        <v>400000</v>
      </c>
      <c r="K716" s="21">
        <f>IFERROR(tb_Auditoria[[#This Row],[VALOR ESPERADO]] / tb_Auditoria[[#This Row],[VALOR CRÉDITO]], 0)</f>
        <v>0</v>
      </c>
      <c r="L716" s="19" t="e">
        <f>SUMIFS([1]!Motor_Comissão[Valor Previsto],[1]!Motor_Comissão[Chave], tb_Auditoria[[#This Row],[Nº CONTRATO]]&amp;"-"&amp;tb_Auditoria[[#This Row],[PARCELA ATUAL]])</f>
        <v>#REF!</v>
      </c>
      <c r="M716" s="19" t="e">
        <f>tb_Auditoria[[#This Row],[VALOR PAGO]] - tb_Auditoria[[#This Row],[VALOR ESPERADO]]</f>
        <v>#REF!</v>
      </c>
      <c r="N7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7" spans="1:15">
      <c r="A717" s="9">
        <v>1142609</v>
      </c>
      <c r="B717" s="10">
        <v>5</v>
      </c>
      <c r="C717" s="28">
        <v>0</v>
      </c>
      <c r="D717" s="12">
        <f>tb_Auditoria[[#This Row],[% TAXA RELATÓRIO]]*tb_Auditoria[[#This Row],[VALOR CRÉDITO]]</f>
        <v>0</v>
      </c>
      <c r="E717" s="13">
        <v>46174</v>
      </c>
      <c r="F717" s="13" t="s">
        <v>17</v>
      </c>
      <c r="G71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1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7" s="19">
        <f>IFERROR(INDEX([1]!tb_Vendas[Crédito],MATCH(tb_Auditoria[[#This Row],[Nº CONTRATO]],[1]!tb_Vendas[Nº Contrato],0)),0)</f>
        <v>400000</v>
      </c>
      <c r="K717" s="21">
        <f>IFERROR(tb_Auditoria[[#This Row],[VALOR ESPERADO]] / tb_Auditoria[[#This Row],[VALOR CRÉDITO]], 0)</f>
        <v>0</v>
      </c>
      <c r="L717" s="19" t="e">
        <f>SUMIFS([1]!Motor_Comissão[Valor Previsto],[1]!Motor_Comissão[Chave], tb_Auditoria[[#This Row],[Nº CONTRATO]]&amp;"-"&amp;tb_Auditoria[[#This Row],[PARCELA ATUAL]])</f>
        <v>#REF!</v>
      </c>
      <c r="M717" s="19" t="e">
        <f>tb_Auditoria[[#This Row],[VALOR PAGO]] - tb_Auditoria[[#This Row],[VALOR ESPERADO]]</f>
        <v>#REF!</v>
      </c>
      <c r="N7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8" spans="1:15">
      <c r="A718" s="9">
        <v>1142609</v>
      </c>
      <c r="B718" s="10">
        <v>6</v>
      </c>
      <c r="C718" s="28">
        <v>0</v>
      </c>
      <c r="D718" s="12">
        <f>tb_Auditoria[[#This Row],[% TAXA RELATÓRIO]]*tb_Auditoria[[#This Row],[VALOR CRÉDITO]]</f>
        <v>0</v>
      </c>
      <c r="E718" s="13">
        <v>46174</v>
      </c>
      <c r="F718" s="13" t="s">
        <v>17</v>
      </c>
      <c r="G71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1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8" s="19">
        <f>IFERROR(INDEX([1]!tb_Vendas[Crédito],MATCH(tb_Auditoria[[#This Row],[Nº CONTRATO]],[1]!tb_Vendas[Nº Contrato],0)),0)</f>
        <v>400000</v>
      </c>
      <c r="K718" s="21">
        <f>IFERROR(tb_Auditoria[[#This Row],[VALOR ESPERADO]] / tb_Auditoria[[#This Row],[VALOR CRÉDITO]], 0)</f>
        <v>0</v>
      </c>
      <c r="L718" s="19" t="e">
        <f>SUMIFS([1]!Motor_Comissão[Valor Previsto],[1]!Motor_Comissão[Chave], tb_Auditoria[[#This Row],[Nº CONTRATO]]&amp;"-"&amp;tb_Auditoria[[#This Row],[PARCELA ATUAL]])</f>
        <v>#REF!</v>
      </c>
      <c r="M718" s="19" t="e">
        <f>tb_Auditoria[[#This Row],[VALOR PAGO]] - tb_Auditoria[[#This Row],[VALOR ESPERADO]]</f>
        <v>#REF!</v>
      </c>
      <c r="N7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19" spans="1:15">
      <c r="A719" s="9">
        <v>1142609</v>
      </c>
      <c r="B719" s="10">
        <v>7</v>
      </c>
      <c r="C719" s="28">
        <v>0</v>
      </c>
      <c r="D719" s="12">
        <f>tb_Auditoria[[#This Row],[% TAXA RELATÓRIO]]*tb_Auditoria[[#This Row],[VALOR CRÉDITO]]</f>
        <v>0</v>
      </c>
      <c r="E719" s="13">
        <v>46174</v>
      </c>
      <c r="F719" s="13" t="s">
        <v>17</v>
      </c>
      <c r="G71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1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1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19" s="19">
        <f>IFERROR(INDEX([1]!tb_Vendas[Crédito],MATCH(tb_Auditoria[[#This Row],[Nº CONTRATO]],[1]!tb_Vendas[Nº Contrato],0)),0)</f>
        <v>400000</v>
      </c>
      <c r="K719" s="21">
        <f>IFERROR(tb_Auditoria[[#This Row],[VALOR ESPERADO]] / tb_Auditoria[[#This Row],[VALOR CRÉDITO]], 0)</f>
        <v>0</v>
      </c>
      <c r="L719" s="19" t="e">
        <f>SUMIFS([1]!Motor_Comissão[Valor Previsto],[1]!Motor_Comissão[Chave], tb_Auditoria[[#This Row],[Nº CONTRATO]]&amp;"-"&amp;tb_Auditoria[[#This Row],[PARCELA ATUAL]])</f>
        <v>#REF!</v>
      </c>
      <c r="M719" s="19" t="e">
        <f>tb_Auditoria[[#This Row],[VALOR PAGO]] - tb_Auditoria[[#This Row],[VALOR ESPERADO]]</f>
        <v>#REF!</v>
      </c>
      <c r="N7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0" spans="1:15">
      <c r="A720" s="9">
        <v>1142609</v>
      </c>
      <c r="B720" s="10">
        <v>8</v>
      </c>
      <c r="C720" s="28">
        <v>0</v>
      </c>
      <c r="D720" s="12">
        <f>tb_Auditoria[[#This Row],[% TAXA RELATÓRIO]]*tb_Auditoria[[#This Row],[VALOR CRÉDITO]]</f>
        <v>0</v>
      </c>
      <c r="E720" s="13">
        <v>46174</v>
      </c>
      <c r="F720" s="13" t="s">
        <v>17</v>
      </c>
      <c r="G72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2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0" s="19">
        <f>IFERROR(INDEX([1]!tb_Vendas[Crédito],MATCH(tb_Auditoria[[#This Row],[Nº CONTRATO]],[1]!tb_Vendas[Nº Contrato],0)),0)</f>
        <v>400000</v>
      </c>
      <c r="K720" s="21">
        <f>IFERROR(tb_Auditoria[[#This Row],[VALOR ESPERADO]] / tb_Auditoria[[#This Row],[VALOR CRÉDITO]], 0)</f>
        <v>0</v>
      </c>
      <c r="L720" s="19" t="e">
        <f>SUMIFS([1]!Motor_Comissão[Valor Previsto],[1]!Motor_Comissão[Chave], tb_Auditoria[[#This Row],[Nº CONTRATO]]&amp;"-"&amp;tb_Auditoria[[#This Row],[PARCELA ATUAL]])</f>
        <v>#REF!</v>
      </c>
      <c r="M720" s="19" t="e">
        <f>tb_Auditoria[[#This Row],[VALOR PAGO]] - tb_Auditoria[[#This Row],[VALOR ESPERADO]]</f>
        <v>#REF!</v>
      </c>
      <c r="N7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1" spans="1:15">
      <c r="A721" s="9">
        <v>1142609</v>
      </c>
      <c r="B721" s="10">
        <v>9</v>
      </c>
      <c r="C721" s="28">
        <v>0</v>
      </c>
      <c r="D721" s="12">
        <f>tb_Auditoria[[#This Row],[% TAXA RELATÓRIO]]*tb_Auditoria[[#This Row],[VALOR CRÉDITO]]</f>
        <v>0</v>
      </c>
      <c r="E721" s="13">
        <v>46174</v>
      </c>
      <c r="F721" s="13" t="s">
        <v>17</v>
      </c>
      <c r="G72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2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1" s="19">
        <f>IFERROR(INDEX([1]!tb_Vendas[Crédito],MATCH(tb_Auditoria[[#This Row],[Nº CONTRATO]],[1]!tb_Vendas[Nº Contrato],0)),0)</f>
        <v>400000</v>
      </c>
      <c r="K721" s="21">
        <f>IFERROR(tb_Auditoria[[#This Row],[VALOR ESPERADO]] / tb_Auditoria[[#This Row],[VALOR CRÉDITO]], 0)</f>
        <v>0</v>
      </c>
      <c r="L721" s="19" t="e">
        <f>SUMIFS([1]!Motor_Comissão[Valor Previsto],[1]!Motor_Comissão[Chave], tb_Auditoria[[#This Row],[Nº CONTRATO]]&amp;"-"&amp;tb_Auditoria[[#This Row],[PARCELA ATUAL]])</f>
        <v>#REF!</v>
      </c>
      <c r="M721" s="19" t="e">
        <f>tb_Auditoria[[#This Row],[VALOR PAGO]] - tb_Auditoria[[#This Row],[VALOR ESPERADO]]</f>
        <v>#REF!</v>
      </c>
      <c r="N7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2" spans="1:15">
      <c r="A722" s="30">
        <v>1142609</v>
      </c>
      <c r="B722" s="25">
        <v>10</v>
      </c>
      <c r="C722" s="31">
        <v>0</v>
      </c>
      <c r="D722" s="32">
        <f>tb_Auditoria[[#This Row],[% TAXA RELATÓRIO]]*tb_Auditoria[[#This Row],[VALOR CRÉDITO]]</f>
        <v>0</v>
      </c>
      <c r="E722" s="13">
        <v>46174</v>
      </c>
      <c r="F722" s="13" t="s">
        <v>17</v>
      </c>
      <c r="G72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2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2" s="19">
        <f>IFERROR(INDEX([1]!tb_Vendas[Crédito],MATCH(tb_Auditoria[[#This Row],[Nº CONTRATO]],[1]!tb_Vendas[Nº Contrato],0)),0)</f>
        <v>400000</v>
      </c>
      <c r="K722" s="21">
        <f>IFERROR(tb_Auditoria[[#This Row],[VALOR ESPERADO]] / tb_Auditoria[[#This Row],[VALOR CRÉDITO]], 0)</f>
        <v>0</v>
      </c>
      <c r="L722" s="19" t="e">
        <f>SUMIFS([1]!Motor_Comissão[Valor Previsto],[1]!Motor_Comissão[Chave], tb_Auditoria[[#This Row],[Nº CONTRATO]]&amp;"-"&amp;tb_Auditoria[[#This Row],[PARCELA ATUAL]])</f>
        <v>#REF!</v>
      </c>
      <c r="M722" s="19" t="e">
        <f>tb_Auditoria[[#This Row],[VALOR PAGO]] - tb_Auditoria[[#This Row],[VALOR ESPERADO]]</f>
        <v>#REF!</v>
      </c>
      <c r="N7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3" spans="1:15">
      <c r="A723" s="9">
        <v>1142600</v>
      </c>
      <c r="B723" s="10">
        <v>12</v>
      </c>
      <c r="C723" s="28">
        <v>1.25E-3</v>
      </c>
      <c r="D723" s="12">
        <f>tb_Auditoria[[#This Row],[% TAXA RELATÓRIO]]*tb_Auditoria[[#This Row],[VALOR CRÉDITO]]</f>
        <v>363.01557500000001</v>
      </c>
      <c r="E723" s="13">
        <v>46174</v>
      </c>
      <c r="F723" s="13" t="s">
        <v>17</v>
      </c>
      <c r="G72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2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3" s="19">
        <f>IFERROR(INDEX([1]!tb_Vendas[Crédito],MATCH(tb_Auditoria[[#This Row],[Nº CONTRATO]],[1]!tb_Vendas[Nº Contrato],0)),0)</f>
        <v>290412.46000000002</v>
      </c>
      <c r="K723" s="21">
        <f>IFERROR(tb_Auditoria[[#This Row],[VALOR ESPERADO]] / tb_Auditoria[[#This Row],[VALOR CRÉDITO]], 0)</f>
        <v>0</v>
      </c>
      <c r="L723" s="19" t="e">
        <f>SUMIFS([1]!Motor_Comissão[Valor Previsto],[1]!Motor_Comissão[Chave], tb_Auditoria[[#This Row],[Nº CONTRATO]]&amp;"-"&amp;tb_Auditoria[[#This Row],[PARCELA ATUAL]])</f>
        <v>#REF!</v>
      </c>
      <c r="M723" s="19" t="e">
        <f>tb_Auditoria[[#This Row],[VALOR PAGO]] - tb_Auditoria[[#This Row],[VALOR ESPERADO]]</f>
        <v>#REF!</v>
      </c>
      <c r="N7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4" spans="1:15">
      <c r="A724" s="30">
        <v>1142602</v>
      </c>
      <c r="B724" s="25">
        <v>12</v>
      </c>
      <c r="C724" s="28">
        <v>1.25E-3</v>
      </c>
      <c r="D724" s="32">
        <f>tb_Auditoria[[#This Row],[% TAXA RELATÓRIO]]*tb_Auditoria[[#This Row],[VALOR CRÉDITO]]</f>
        <v>362.53067499999997</v>
      </c>
      <c r="E724" s="13">
        <v>46174</v>
      </c>
      <c r="F724" s="13" t="s">
        <v>17</v>
      </c>
      <c r="G72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2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4" s="19">
        <f>IFERROR(INDEX([1]!tb_Vendas[Crédito],MATCH(tb_Auditoria[[#This Row],[Nº CONTRATO]],[1]!tb_Vendas[Nº Contrato],0)),0)</f>
        <v>290024.53999999998</v>
      </c>
      <c r="K724" s="21">
        <f>IFERROR(tb_Auditoria[[#This Row],[VALOR ESPERADO]] / tb_Auditoria[[#This Row],[VALOR CRÉDITO]], 0)</f>
        <v>0</v>
      </c>
      <c r="L724" s="19" t="e">
        <f>SUMIFS([1]!Motor_Comissão[Valor Previsto],[1]!Motor_Comissão[Chave], tb_Auditoria[[#This Row],[Nº CONTRATO]]&amp;"-"&amp;tb_Auditoria[[#This Row],[PARCELA ATUAL]])</f>
        <v>#REF!</v>
      </c>
      <c r="M724" s="19" t="e">
        <f>tb_Auditoria[[#This Row],[VALOR PAGO]] - tb_Auditoria[[#This Row],[VALOR ESPERADO]]</f>
        <v>#REF!</v>
      </c>
      <c r="N7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5" spans="1:15">
      <c r="A725" s="30">
        <v>1142603</v>
      </c>
      <c r="B725" s="25">
        <v>12</v>
      </c>
      <c r="C725" s="28">
        <v>1.25E-3</v>
      </c>
      <c r="D725" s="32">
        <f>tb_Auditoria[[#This Row],[% TAXA RELATÓRIO]]*tb_Auditoria[[#This Row],[VALOR CRÉDITO]]</f>
        <v>340.41753750000004</v>
      </c>
      <c r="E725" s="13">
        <v>46174</v>
      </c>
      <c r="F725" s="13" t="s">
        <v>17</v>
      </c>
      <c r="G72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2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5" s="19">
        <f>IFERROR(INDEX([1]!tb_Vendas[Crédito],MATCH(tb_Auditoria[[#This Row],[Nº CONTRATO]],[1]!tb_Vendas[Nº Contrato],0)),0)</f>
        <v>272334.03000000003</v>
      </c>
      <c r="K725" s="21">
        <f>IFERROR(tb_Auditoria[[#This Row],[VALOR ESPERADO]] / tb_Auditoria[[#This Row],[VALOR CRÉDITO]], 0)</f>
        <v>0</v>
      </c>
      <c r="L725" s="19" t="e">
        <f>SUMIFS([1]!Motor_Comissão[Valor Previsto],[1]!Motor_Comissão[Chave], tb_Auditoria[[#This Row],[Nº CONTRATO]]&amp;"-"&amp;tb_Auditoria[[#This Row],[PARCELA ATUAL]])</f>
        <v>#REF!</v>
      </c>
      <c r="M725" s="19" t="e">
        <f>tb_Auditoria[[#This Row],[VALOR PAGO]] - tb_Auditoria[[#This Row],[VALOR ESPERADO]]</f>
        <v>#REF!</v>
      </c>
      <c r="N7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6" spans="1:15">
      <c r="A726" s="9">
        <v>1142605</v>
      </c>
      <c r="B726" s="10">
        <v>12</v>
      </c>
      <c r="C726" s="28">
        <v>1.25E-3</v>
      </c>
      <c r="D726" s="12">
        <f>tb_Auditoria[[#This Row],[% TAXA RELATÓRIO]]*tb_Auditoria[[#This Row],[VALOR CRÉDITO]]</f>
        <v>889.46922500000005</v>
      </c>
      <c r="E726" s="13">
        <v>46174</v>
      </c>
      <c r="F726" s="13" t="s">
        <v>17</v>
      </c>
      <c r="G72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2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6" s="19">
        <f>IFERROR(INDEX([1]!tb_Vendas[Crédito],MATCH(tb_Auditoria[[#This Row],[Nº CONTRATO]],[1]!tb_Vendas[Nº Contrato],0)),0)</f>
        <v>711575.38</v>
      </c>
      <c r="K726" s="21">
        <f>IFERROR(tb_Auditoria[[#This Row],[VALOR ESPERADO]] / tb_Auditoria[[#This Row],[VALOR CRÉDITO]], 0)</f>
        <v>0</v>
      </c>
      <c r="L726" s="19" t="e">
        <f>SUMIFS([1]!Motor_Comissão[Valor Previsto],[1]!Motor_Comissão[Chave], tb_Auditoria[[#This Row],[Nº CONTRATO]]&amp;"-"&amp;tb_Auditoria[[#This Row],[PARCELA ATUAL]])</f>
        <v>#REF!</v>
      </c>
      <c r="M726" s="19" t="e">
        <f>tb_Auditoria[[#This Row],[VALOR PAGO]] - tb_Auditoria[[#This Row],[VALOR ESPERADO]]</f>
        <v>#REF!</v>
      </c>
      <c r="N7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7" spans="1:15">
      <c r="A727" s="9">
        <v>1142604</v>
      </c>
      <c r="B727" s="10">
        <v>12</v>
      </c>
      <c r="C727" s="28">
        <v>1.25E-3</v>
      </c>
      <c r="D727" s="12">
        <f>tb_Auditoria[[#This Row],[% TAXA RELATÓRIO]]*tb_Auditoria[[#This Row],[VALOR CRÉDITO]]</f>
        <v>889.46922500000005</v>
      </c>
      <c r="E727" s="13">
        <v>46174</v>
      </c>
      <c r="F727" s="13" t="s">
        <v>17</v>
      </c>
      <c r="G72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2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7" s="19">
        <f>IFERROR(INDEX([1]!tb_Vendas[Crédito],MATCH(tb_Auditoria[[#This Row],[Nº CONTRATO]],[1]!tb_Vendas[Nº Contrato],0)),0)</f>
        <v>711575.38</v>
      </c>
      <c r="K727" s="21">
        <f>IFERROR(tb_Auditoria[[#This Row],[VALOR ESPERADO]] / tb_Auditoria[[#This Row],[VALOR CRÉDITO]], 0)</f>
        <v>0</v>
      </c>
      <c r="L727" s="19" t="e">
        <f>SUMIFS([1]!Motor_Comissão[Valor Previsto],[1]!Motor_Comissão[Chave], tb_Auditoria[[#This Row],[Nº CONTRATO]]&amp;"-"&amp;tb_Auditoria[[#This Row],[PARCELA ATUAL]])</f>
        <v>#REF!</v>
      </c>
      <c r="M727" s="19" t="e">
        <f>tb_Auditoria[[#This Row],[VALOR PAGO]] - tb_Auditoria[[#This Row],[VALOR ESPERADO]]</f>
        <v>#REF!</v>
      </c>
      <c r="N7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8" spans="1:15">
      <c r="A728" s="30">
        <v>1142607</v>
      </c>
      <c r="B728" s="25">
        <v>12</v>
      </c>
      <c r="C728" s="28">
        <v>1.25E-3</v>
      </c>
      <c r="D728" s="32">
        <f>tb_Auditoria[[#This Row],[% TAXA RELATÓRIO]]*tb_Auditoria[[#This Row],[VALOR CRÉDITO]]</f>
        <v>558.35376250000002</v>
      </c>
      <c r="E728" s="13">
        <v>46174</v>
      </c>
      <c r="F728" s="13" t="s">
        <v>17</v>
      </c>
      <c r="G72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2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8" s="19">
        <f>IFERROR(INDEX([1]!tb_Vendas[Crédito],MATCH(tb_Auditoria[[#This Row],[Nº CONTRATO]],[1]!tb_Vendas[Nº Contrato],0)),0)</f>
        <v>446683.01</v>
      </c>
      <c r="K728" s="21">
        <f>IFERROR(tb_Auditoria[[#This Row],[VALOR ESPERADO]] / tb_Auditoria[[#This Row],[VALOR CRÉDITO]], 0)</f>
        <v>0</v>
      </c>
      <c r="L728" s="19" t="e">
        <f>SUMIFS([1]!Motor_Comissão[Valor Previsto],[1]!Motor_Comissão[Chave], tb_Auditoria[[#This Row],[Nº CONTRATO]]&amp;"-"&amp;tb_Auditoria[[#This Row],[PARCELA ATUAL]])</f>
        <v>#REF!</v>
      </c>
      <c r="M728" s="19" t="e">
        <f>tb_Auditoria[[#This Row],[VALOR PAGO]] - tb_Auditoria[[#This Row],[VALOR ESPERADO]]</f>
        <v>#REF!</v>
      </c>
      <c r="N7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29" spans="1:15">
      <c r="A729" s="30">
        <v>1142606</v>
      </c>
      <c r="B729" s="25">
        <v>12</v>
      </c>
      <c r="C729" s="28">
        <v>1.25E-3</v>
      </c>
      <c r="D729" s="32">
        <f>tb_Auditoria[[#This Row],[% TAXA RELATÓRIO]]*tb_Auditoria[[#This Row],[VALOR CRÉDITO]]</f>
        <v>558.35376250000002</v>
      </c>
      <c r="E729" s="13">
        <v>46174</v>
      </c>
      <c r="F729" s="13" t="s">
        <v>17</v>
      </c>
      <c r="G72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2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2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29" s="19">
        <f>IFERROR(INDEX([1]!tb_Vendas[Crédito],MATCH(tb_Auditoria[[#This Row],[Nº CONTRATO]],[1]!tb_Vendas[Nº Contrato],0)),0)</f>
        <v>446683.01</v>
      </c>
      <c r="K729" s="21">
        <f>IFERROR(tb_Auditoria[[#This Row],[VALOR ESPERADO]] / tb_Auditoria[[#This Row],[VALOR CRÉDITO]], 0)</f>
        <v>0</v>
      </c>
      <c r="L729" s="19" t="e">
        <f>SUMIFS([1]!Motor_Comissão[Valor Previsto],[1]!Motor_Comissão[Chave], tb_Auditoria[[#This Row],[Nº CONTRATO]]&amp;"-"&amp;tb_Auditoria[[#This Row],[PARCELA ATUAL]])</f>
        <v>#REF!</v>
      </c>
      <c r="M729" s="19" t="e">
        <f>tb_Auditoria[[#This Row],[VALOR PAGO]] - tb_Auditoria[[#This Row],[VALOR ESPERADO]]</f>
        <v>#REF!</v>
      </c>
      <c r="N7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0" spans="1:15">
      <c r="A730" s="9">
        <v>1142609</v>
      </c>
      <c r="B730" s="10">
        <v>12</v>
      </c>
      <c r="C730" s="28">
        <v>1.25E-3</v>
      </c>
      <c r="D730" s="12">
        <f>tb_Auditoria[[#This Row],[% TAXA RELATÓRIO]]*tb_Auditoria[[#This Row],[VALOR CRÉDITO]]</f>
        <v>500</v>
      </c>
      <c r="E730" s="13">
        <v>46174</v>
      </c>
      <c r="F730" s="13" t="s">
        <v>17</v>
      </c>
      <c r="G73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3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0" s="19">
        <f>IFERROR(INDEX([1]!tb_Vendas[Crédito],MATCH(tb_Auditoria[[#This Row],[Nº CONTRATO]],[1]!tb_Vendas[Nº Contrato],0)),0)</f>
        <v>400000</v>
      </c>
      <c r="K730" s="21">
        <f>IFERROR(tb_Auditoria[[#This Row],[VALOR ESPERADO]] / tb_Auditoria[[#This Row],[VALOR CRÉDITO]], 0)</f>
        <v>0</v>
      </c>
      <c r="L730" s="19" t="e">
        <f>SUMIFS([1]!Motor_Comissão[Valor Previsto],[1]!Motor_Comissão[Chave], tb_Auditoria[[#This Row],[Nº CONTRATO]]&amp;"-"&amp;tb_Auditoria[[#This Row],[PARCELA ATUAL]])</f>
        <v>#REF!</v>
      </c>
      <c r="M730" s="19" t="e">
        <f>tb_Auditoria[[#This Row],[VALOR PAGO]] - tb_Auditoria[[#This Row],[VALOR ESPERADO]]</f>
        <v>#REF!</v>
      </c>
      <c r="N7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1" spans="1:15">
      <c r="A731" s="30">
        <v>1142608</v>
      </c>
      <c r="B731" s="25">
        <v>12</v>
      </c>
      <c r="C731" s="28">
        <v>1.25E-3</v>
      </c>
      <c r="D731" s="32">
        <f>tb_Auditoria[[#This Row],[% TAXA RELATÓRIO]]*tb_Auditoria[[#This Row],[VALOR CRÉDITO]]</f>
        <v>500</v>
      </c>
      <c r="E731" s="13">
        <v>46174</v>
      </c>
      <c r="F731" s="13" t="s">
        <v>17</v>
      </c>
      <c r="G73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3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1" s="19">
        <f>IFERROR(INDEX([1]!tb_Vendas[Crédito],MATCH(tb_Auditoria[[#This Row],[Nº CONTRATO]],[1]!tb_Vendas[Nº Contrato],0)),0)</f>
        <v>400000</v>
      </c>
      <c r="K731" s="21">
        <f>IFERROR(tb_Auditoria[[#This Row],[VALOR ESPERADO]] / tb_Auditoria[[#This Row],[VALOR CRÉDITO]], 0)</f>
        <v>0</v>
      </c>
      <c r="L731" s="19" t="e">
        <f>SUMIFS([1]!Motor_Comissão[Valor Previsto],[1]!Motor_Comissão[Chave], tb_Auditoria[[#This Row],[Nº CONTRATO]]&amp;"-"&amp;tb_Auditoria[[#This Row],[PARCELA ATUAL]])</f>
        <v>#REF!</v>
      </c>
      <c r="M731" s="19" t="e">
        <f>tb_Auditoria[[#This Row],[VALOR PAGO]] - tb_Auditoria[[#This Row],[VALOR ESPERADO]]</f>
        <v>#REF!</v>
      </c>
      <c r="N7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2" spans="1:15">
      <c r="A732" s="30">
        <v>1142600</v>
      </c>
      <c r="B732" s="25">
        <v>13</v>
      </c>
      <c r="C732" s="28">
        <v>1.25E-3</v>
      </c>
      <c r="D732" s="32">
        <f>tb_Auditoria[[#This Row],[% TAXA RELATÓRIO]]*tb_Auditoria[[#This Row],[VALOR CRÉDITO]]</f>
        <v>363.01557500000001</v>
      </c>
      <c r="E732" s="13">
        <v>46174</v>
      </c>
      <c r="F732" s="13" t="s">
        <v>17</v>
      </c>
      <c r="G73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3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2" s="19">
        <f>IFERROR(INDEX([1]!tb_Vendas[Crédito],MATCH(tb_Auditoria[[#This Row],[Nº CONTRATO]],[1]!tb_Vendas[Nº Contrato],0)),0)</f>
        <v>290412.46000000002</v>
      </c>
      <c r="K732" s="21">
        <f>IFERROR(tb_Auditoria[[#This Row],[VALOR ESPERADO]] / tb_Auditoria[[#This Row],[VALOR CRÉDITO]], 0)</f>
        <v>0</v>
      </c>
      <c r="L732" s="19" t="e">
        <f>SUMIFS([1]!Motor_Comissão[Valor Previsto],[1]!Motor_Comissão[Chave], tb_Auditoria[[#This Row],[Nº CONTRATO]]&amp;"-"&amp;tb_Auditoria[[#This Row],[PARCELA ATUAL]])</f>
        <v>#REF!</v>
      </c>
      <c r="M732" s="19" t="e">
        <f>tb_Auditoria[[#This Row],[VALOR PAGO]] - tb_Auditoria[[#This Row],[VALOR ESPERADO]]</f>
        <v>#REF!</v>
      </c>
      <c r="N7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3" spans="1:15">
      <c r="A733" s="30">
        <v>1142602</v>
      </c>
      <c r="B733" s="25">
        <v>13</v>
      </c>
      <c r="C733" s="28">
        <v>1.25E-3</v>
      </c>
      <c r="D733" s="32">
        <f>tb_Auditoria[[#This Row],[% TAXA RELATÓRIO]]*tb_Auditoria[[#This Row],[VALOR CRÉDITO]]</f>
        <v>362.53067499999997</v>
      </c>
      <c r="E733" s="13">
        <v>46174</v>
      </c>
      <c r="F733" s="13" t="s">
        <v>17</v>
      </c>
      <c r="G73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3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3" s="19">
        <f>IFERROR(INDEX([1]!tb_Vendas[Crédito],MATCH(tb_Auditoria[[#This Row],[Nº CONTRATO]],[1]!tb_Vendas[Nº Contrato],0)),0)</f>
        <v>290024.53999999998</v>
      </c>
      <c r="K733" s="21">
        <f>IFERROR(tb_Auditoria[[#This Row],[VALOR ESPERADO]] / tb_Auditoria[[#This Row],[VALOR CRÉDITO]], 0)</f>
        <v>0</v>
      </c>
      <c r="L733" s="19" t="e">
        <f>SUMIFS([1]!Motor_Comissão[Valor Previsto],[1]!Motor_Comissão[Chave], tb_Auditoria[[#This Row],[Nº CONTRATO]]&amp;"-"&amp;tb_Auditoria[[#This Row],[PARCELA ATUAL]])</f>
        <v>#REF!</v>
      </c>
      <c r="M733" s="19" t="e">
        <f>tb_Auditoria[[#This Row],[VALOR PAGO]] - tb_Auditoria[[#This Row],[VALOR ESPERADO]]</f>
        <v>#REF!</v>
      </c>
      <c r="N7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4" spans="1:15">
      <c r="A734" s="30">
        <v>1142603</v>
      </c>
      <c r="B734" s="25">
        <v>13</v>
      </c>
      <c r="C734" s="28">
        <v>1.25E-3</v>
      </c>
      <c r="D734" s="32">
        <f>tb_Auditoria[[#This Row],[% TAXA RELATÓRIO]]*tb_Auditoria[[#This Row],[VALOR CRÉDITO]]</f>
        <v>340.41753750000004</v>
      </c>
      <c r="E734" s="13">
        <v>46174</v>
      </c>
      <c r="F734" s="13" t="s">
        <v>17</v>
      </c>
      <c r="G73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3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4" s="19">
        <f>IFERROR(INDEX([1]!tb_Vendas[Crédito],MATCH(tb_Auditoria[[#This Row],[Nº CONTRATO]],[1]!tb_Vendas[Nº Contrato],0)),0)</f>
        <v>272334.03000000003</v>
      </c>
      <c r="K734" s="21">
        <f>IFERROR(tb_Auditoria[[#This Row],[VALOR ESPERADO]] / tb_Auditoria[[#This Row],[VALOR CRÉDITO]], 0)</f>
        <v>0</v>
      </c>
      <c r="L734" s="19" t="e">
        <f>SUMIFS([1]!Motor_Comissão[Valor Previsto],[1]!Motor_Comissão[Chave], tb_Auditoria[[#This Row],[Nº CONTRATO]]&amp;"-"&amp;tb_Auditoria[[#This Row],[PARCELA ATUAL]])</f>
        <v>#REF!</v>
      </c>
      <c r="M734" s="19" t="e">
        <f>tb_Auditoria[[#This Row],[VALOR PAGO]] - tb_Auditoria[[#This Row],[VALOR ESPERADO]]</f>
        <v>#REF!</v>
      </c>
      <c r="N7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5" spans="1:15">
      <c r="A735" s="9">
        <v>1142605</v>
      </c>
      <c r="B735" s="10">
        <v>13</v>
      </c>
      <c r="C735" s="28">
        <v>1.25E-3</v>
      </c>
      <c r="D735" s="12">
        <f>tb_Auditoria[[#This Row],[% TAXA RELATÓRIO]]*tb_Auditoria[[#This Row],[VALOR CRÉDITO]]</f>
        <v>889.46922500000005</v>
      </c>
      <c r="E735" s="13">
        <v>46174</v>
      </c>
      <c r="F735" s="13" t="s">
        <v>17</v>
      </c>
      <c r="G73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3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5" s="19">
        <f>IFERROR(INDEX([1]!tb_Vendas[Crédito],MATCH(tb_Auditoria[[#This Row],[Nº CONTRATO]],[1]!tb_Vendas[Nº Contrato],0)),0)</f>
        <v>711575.38</v>
      </c>
      <c r="K735" s="21">
        <f>IFERROR(tb_Auditoria[[#This Row],[VALOR ESPERADO]] / tb_Auditoria[[#This Row],[VALOR CRÉDITO]], 0)</f>
        <v>0</v>
      </c>
      <c r="L735" s="19" t="e">
        <f>SUMIFS([1]!Motor_Comissão[Valor Previsto],[1]!Motor_Comissão[Chave], tb_Auditoria[[#This Row],[Nº CONTRATO]]&amp;"-"&amp;tb_Auditoria[[#This Row],[PARCELA ATUAL]])</f>
        <v>#REF!</v>
      </c>
      <c r="M735" s="19" t="e">
        <f>tb_Auditoria[[#This Row],[VALOR PAGO]] - tb_Auditoria[[#This Row],[VALOR ESPERADO]]</f>
        <v>#REF!</v>
      </c>
      <c r="N7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6" spans="1:15">
      <c r="A736" s="9">
        <v>1142604</v>
      </c>
      <c r="B736" s="10">
        <v>13</v>
      </c>
      <c r="C736" s="28">
        <v>1.25E-3</v>
      </c>
      <c r="D736" s="12">
        <f>tb_Auditoria[[#This Row],[% TAXA RELATÓRIO]]*tb_Auditoria[[#This Row],[VALOR CRÉDITO]]</f>
        <v>889.46922500000005</v>
      </c>
      <c r="E736" s="13">
        <v>46174</v>
      </c>
      <c r="F736" s="13" t="s">
        <v>17</v>
      </c>
      <c r="G73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3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6" s="19">
        <f>IFERROR(INDEX([1]!tb_Vendas[Crédito],MATCH(tb_Auditoria[[#This Row],[Nº CONTRATO]],[1]!tb_Vendas[Nº Contrato],0)),0)</f>
        <v>711575.38</v>
      </c>
      <c r="K736" s="21">
        <f>IFERROR(tb_Auditoria[[#This Row],[VALOR ESPERADO]] / tb_Auditoria[[#This Row],[VALOR CRÉDITO]], 0)</f>
        <v>0</v>
      </c>
      <c r="L736" s="19" t="e">
        <f>SUMIFS([1]!Motor_Comissão[Valor Previsto],[1]!Motor_Comissão[Chave], tb_Auditoria[[#This Row],[Nº CONTRATO]]&amp;"-"&amp;tb_Auditoria[[#This Row],[PARCELA ATUAL]])</f>
        <v>#REF!</v>
      </c>
      <c r="M736" s="19" t="e">
        <f>tb_Auditoria[[#This Row],[VALOR PAGO]] - tb_Auditoria[[#This Row],[VALOR ESPERADO]]</f>
        <v>#REF!</v>
      </c>
      <c r="N7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7" spans="1:15">
      <c r="A737" s="9">
        <v>1142607</v>
      </c>
      <c r="B737" s="10">
        <v>13</v>
      </c>
      <c r="C737" s="28">
        <v>1.25E-3</v>
      </c>
      <c r="D737" s="12">
        <f>tb_Auditoria[[#This Row],[% TAXA RELATÓRIO]]*tb_Auditoria[[#This Row],[VALOR CRÉDITO]]</f>
        <v>558.35376250000002</v>
      </c>
      <c r="E737" s="13">
        <v>46174</v>
      </c>
      <c r="F737" s="13" t="s">
        <v>17</v>
      </c>
      <c r="G73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3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7" s="19">
        <f>IFERROR(INDEX([1]!tb_Vendas[Crédito],MATCH(tb_Auditoria[[#This Row],[Nº CONTRATO]],[1]!tb_Vendas[Nº Contrato],0)),0)</f>
        <v>446683.01</v>
      </c>
      <c r="K737" s="21">
        <f>IFERROR(tb_Auditoria[[#This Row],[VALOR ESPERADO]] / tb_Auditoria[[#This Row],[VALOR CRÉDITO]], 0)</f>
        <v>0</v>
      </c>
      <c r="L737" s="19" t="e">
        <f>SUMIFS([1]!Motor_Comissão[Valor Previsto],[1]!Motor_Comissão[Chave], tb_Auditoria[[#This Row],[Nº CONTRATO]]&amp;"-"&amp;tb_Auditoria[[#This Row],[PARCELA ATUAL]])</f>
        <v>#REF!</v>
      </c>
      <c r="M737" s="19" t="e">
        <f>tb_Auditoria[[#This Row],[VALOR PAGO]] - tb_Auditoria[[#This Row],[VALOR ESPERADO]]</f>
        <v>#REF!</v>
      </c>
      <c r="N7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8" spans="1:15">
      <c r="A738" s="30">
        <v>1142606</v>
      </c>
      <c r="B738" s="25">
        <v>13</v>
      </c>
      <c r="C738" s="28">
        <v>1.25E-3</v>
      </c>
      <c r="D738" s="32">
        <f>tb_Auditoria[[#This Row],[% TAXA RELATÓRIO]]*tb_Auditoria[[#This Row],[VALOR CRÉDITO]]</f>
        <v>558.35376250000002</v>
      </c>
      <c r="E738" s="13">
        <v>46174</v>
      </c>
      <c r="F738" s="13" t="s">
        <v>17</v>
      </c>
      <c r="G73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3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8" s="19">
        <f>IFERROR(INDEX([1]!tb_Vendas[Crédito],MATCH(tb_Auditoria[[#This Row],[Nº CONTRATO]],[1]!tb_Vendas[Nº Contrato],0)),0)</f>
        <v>446683.01</v>
      </c>
      <c r="K738" s="21">
        <f>IFERROR(tb_Auditoria[[#This Row],[VALOR ESPERADO]] / tb_Auditoria[[#This Row],[VALOR CRÉDITO]], 0)</f>
        <v>0</v>
      </c>
      <c r="L738" s="19" t="e">
        <f>SUMIFS([1]!Motor_Comissão[Valor Previsto],[1]!Motor_Comissão[Chave], tb_Auditoria[[#This Row],[Nº CONTRATO]]&amp;"-"&amp;tb_Auditoria[[#This Row],[PARCELA ATUAL]])</f>
        <v>#REF!</v>
      </c>
      <c r="M738" s="19" t="e">
        <f>tb_Auditoria[[#This Row],[VALOR PAGO]] - tb_Auditoria[[#This Row],[VALOR ESPERADO]]</f>
        <v>#REF!</v>
      </c>
      <c r="N7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39" spans="1:15">
      <c r="A739" s="9">
        <v>1142609</v>
      </c>
      <c r="B739" s="10">
        <v>13</v>
      </c>
      <c r="C739" s="28">
        <v>1.25E-3</v>
      </c>
      <c r="D739" s="12">
        <f>tb_Auditoria[[#This Row],[% TAXA RELATÓRIO]]*tb_Auditoria[[#This Row],[VALOR CRÉDITO]]</f>
        <v>500</v>
      </c>
      <c r="E739" s="13">
        <v>46174</v>
      </c>
      <c r="F739" s="13" t="s">
        <v>17</v>
      </c>
      <c r="G73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3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3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39" s="19">
        <f>IFERROR(INDEX([1]!tb_Vendas[Crédito],MATCH(tb_Auditoria[[#This Row],[Nº CONTRATO]],[1]!tb_Vendas[Nº Contrato],0)),0)</f>
        <v>400000</v>
      </c>
      <c r="K739" s="21">
        <f>IFERROR(tb_Auditoria[[#This Row],[VALOR ESPERADO]] / tb_Auditoria[[#This Row],[VALOR CRÉDITO]], 0)</f>
        <v>0</v>
      </c>
      <c r="L739" s="19" t="e">
        <f>SUMIFS([1]!Motor_Comissão[Valor Previsto],[1]!Motor_Comissão[Chave], tb_Auditoria[[#This Row],[Nº CONTRATO]]&amp;"-"&amp;tb_Auditoria[[#This Row],[PARCELA ATUAL]])</f>
        <v>#REF!</v>
      </c>
      <c r="M739" s="19" t="e">
        <f>tb_Auditoria[[#This Row],[VALOR PAGO]] - tb_Auditoria[[#This Row],[VALOR ESPERADO]]</f>
        <v>#REF!</v>
      </c>
      <c r="N7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0" spans="1:15">
      <c r="A740" s="30">
        <v>1142608</v>
      </c>
      <c r="B740" s="25">
        <v>13</v>
      </c>
      <c r="C740" s="28">
        <v>1.25E-3</v>
      </c>
      <c r="D740" s="32">
        <f>tb_Auditoria[[#This Row],[% TAXA RELATÓRIO]]*tb_Auditoria[[#This Row],[VALOR CRÉDITO]]</f>
        <v>500</v>
      </c>
      <c r="E740" s="13">
        <v>46174</v>
      </c>
      <c r="F740" s="13" t="s">
        <v>17</v>
      </c>
      <c r="G74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4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0" s="19">
        <f>IFERROR(INDEX([1]!tb_Vendas[Crédito],MATCH(tb_Auditoria[[#This Row],[Nº CONTRATO]],[1]!tb_Vendas[Nº Contrato],0)),0)</f>
        <v>400000</v>
      </c>
      <c r="K740" s="21">
        <f>IFERROR(tb_Auditoria[[#This Row],[VALOR ESPERADO]] / tb_Auditoria[[#This Row],[VALOR CRÉDITO]], 0)</f>
        <v>0</v>
      </c>
      <c r="L740" s="19" t="e">
        <f>SUMIFS([1]!Motor_Comissão[Valor Previsto],[1]!Motor_Comissão[Chave], tb_Auditoria[[#This Row],[Nº CONTRATO]]&amp;"-"&amp;tb_Auditoria[[#This Row],[PARCELA ATUAL]])</f>
        <v>#REF!</v>
      </c>
      <c r="M740" s="19" t="e">
        <f>tb_Auditoria[[#This Row],[VALOR PAGO]] - tb_Auditoria[[#This Row],[VALOR ESPERADO]]</f>
        <v>#REF!</v>
      </c>
      <c r="N7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1" spans="1:15">
      <c r="A741" s="9">
        <v>1142600</v>
      </c>
      <c r="B741" s="10">
        <v>14</v>
      </c>
      <c r="C741" s="28">
        <v>1.25E-3</v>
      </c>
      <c r="D741" s="12">
        <f>tb_Auditoria[[#This Row],[% TAXA RELATÓRIO]]*tb_Auditoria[[#This Row],[VALOR CRÉDITO]]</f>
        <v>363.01557500000001</v>
      </c>
      <c r="E741" s="13">
        <v>46174</v>
      </c>
      <c r="F741" s="13" t="s">
        <v>17</v>
      </c>
      <c r="G74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4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1" s="19">
        <f>IFERROR(INDEX([1]!tb_Vendas[Crédito],MATCH(tb_Auditoria[[#This Row],[Nº CONTRATO]],[1]!tb_Vendas[Nº Contrato],0)),0)</f>
        <v>290412.46000000002</v>
      </c>
      <c r="K741" s="21">
        <f>IFERROR(tb_Auditoria[[#This Row],[VALOR ESPERADO]] / tb_Auditoria[[#This Row],[VALOR CRÉDITO]], 0)</f>
        <v>0</v>
      </c>
      <c r="L741" s="19" t="e">
        <f>SUMIFS([1]!Motor_Comissão[Valor Previsto],[1]!Motor_Comissão[Chave], tb_Auditoria[[#This Row],[Nº CONTRATO]]&amp;"-"&amp;tb_Auditoria[[#This Row],[PARCELA ATUAL]])</f>
        <v>#REF!</v>
      </c>
      <c r="M741" s="19" t="e">
        <f>tb_Auditoria[[#This Row],[VALOR PAGO]] - tb_Auditoria[[#This Row],[VALOR ESPERADO]]</f>
        <v>#REF!</v>
      </c>
      <c r="N7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2" spans="1:15">
      <c r="A742" s="9">
        <v>1142602</v>
      </c>
      <c r="B742" s="10">
        <v>14</v>
      </c>
      <c r="C742" s="28">
        <v>1.25E-3</v>
      </c>
      <c r="D742" s="12">
        <f>tb_Auditoria[[#This Row],[% TAXA RELATÓRIO]]*tb_Auditoria[[#This Row],[VALOR CRÉDITO]]</f>
        <v>362.53067499999997</v>
      </c>
      <c r="E742" s="13">
        <v>46174</v>
      </c>
      <c r="F742" s="13" t="s">
        <v>17</v>
      </c>
      <c r="G74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4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2" s="19">
        <f>IFERROR(INDEX([1]!tb_Vendas[Crédito],MATCH(tb_Auditoria[[#This Row],[Nº CONTRATO]],[1]!tb_Vendas[Nº Contrato],0)),0)</f>
        <v>290024.53999999998</v>
      </c>
      <c r="K742" s="21">
        <f>IFERROR(tb_Auditoria[[#This Row],[VALOR ESPERADO]] / tb_Auditoria[[#This Row],[VALOR CRÉDITO]], 0)</f>
        <v>0</v>
      </c>
      <c r="L742" s="19" t="e">
        <f>SUMIFS([1]!Motor_Comissão[Valor Previsto],[1]!Motor_Comissão[Chave], tb_Auditoria[[#This Row],[Nº CONTRATO]]&amp;"-"&amp;tb_Auditoria[[#This Row],[PARCELA ATUAL]])</f>
        <v>#REF!</v>
      </c>
      <c r="M742" s="19" t="e">
        <f>tb_Auditoria[[#This Row],[VALOR PAGO]] - tb_Auditoria[[#This Row],[VALOR ESPERADO]]</f>
        <v>#REF!</v>
      </c>
      <c r="N7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3" spans="1:15">
      <c r="A743" s="9">
        <v>1142603</v>
      </c>
      <c r="B743" s="10">
        <v>14</v>
      </c>
      <c r="C743" s="28">
        <v>1.25E-3</v>
      </c>
      <c r="D743" s="12">
        <f>tb_Auditoria[[#This Row],[% TAXA RELATÓRIO]]*tb_Auditoria[[#This Row],[VALOR CRÉDITO]]</f>
        <v>340.41753750000004</v>
      </c>
      <c r="E743" s="13">
        <v>46174</v>
      </c>
      <c r="F743" s="13" t="s">
        <v>17</v>
      </c>
      <c r="G74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4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3" s="19">
        <f>IFERROR(INDEX([1]!tb_Vendas[Crédito],MATCH(tb_Auditoria[[#This Row],[Nº CONTRATO]],[1]!tb_Vendas[Nº Contrato],0)),0)</f>
        <v>272334.03000000003</v>
      </c>
      <c r="K743" s="21">
        <f>IFERROR(tb_Auditoria[[#This Row],[VALOR ESPERADO]] / tb_Auditoria[[#This Row],[VALOR CRÉDITO]], 0)</f>
        <v>0</v>
      </c>
      <c r="L743" s="19" t="e">
        <f>SUMIFS([1]!Motor_Comissão[Valor Previsto],[1]!Motor_Comissão[Chave], tb_Auditoria[[#This Row],[Nº CONTRATO]]&amp;"-"&amp;tb_Auditoria[[#This Row],[PARCELA ATUAL]])</f>
        <v>#REF!</v>
      </c>
      <c r="M743" s="19" t="e">
        <f>tb_Auditoria[[#This Row],[VALOR PAGO]] - tb_Auditoria[[#This Row],[VALOR ESPERADO]]</f>
        <v>#REF!</v>
      </c>
      <c r="N7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4" spans="1:15">
      <c r="A744" s="9">
        <v>1142604</v>
      </c>
      <c r="B744" s="10">
        <v>14</v>
      </c>
      <c r="C744" s="28">
        <v>1.25E-3</v>
      </c>
      <c r="D744" s="12">
        <f>tb_Auditoria[[#This Row],[% TAXA RELATÓRIO]]*tb_Auditoria[[#This Row],[VALOR CRÉDITO]]</f>
        <v>889.46922500000005</v>
      </c>
      <c r="E744" s="13">
        <v>46174</v>
      </c>
      <c r="F744" s="13" t="s">
        <v>17</v>
      </c>
      <c r="G74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4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4" s="19">
        <f>IFERROR(INDEX([1]!tb_Vendas[Crédito],MATCH(tb_Auditoria[[#This Row],[Nº CONTRATO]],[1]!tb_Vendas[Nº Contrato],0)),0)</f>
        <v>711575.38</v>
      </c>
      <c r="K744" s="21">
        <f>IFERROR(tb_Auditoria[[#This Row],[VALOR ESPERADO]] / tb_Auditoria[[#This Row],[VALOR CRÉDITO]], 0)</f>
        <v>0</v>
      </c>
      <c r="L744" s="19" t="e">
        <f>SUMIFS([1]!Motor_Comissão[Valor Previsto],[1]!Motor_Comissão[Chave], tb_Auditoria[[#This Row],[Nº CONTRATO]]&amp;"-"&amp;tb_Auditoria[[#This Row],[PARCELA ATUAL]])</f>
        <v>#REF!</v>
      </c>
      <c r="M744" s="19" t="e">
        <f>tb_Auditoria[[#This Row],[VALOR PAGO]] - tb_Auditoria[[#This Row],[VALOR ESPERADO]]</f>
        <v>#REF!</v>
      </c>
      <c r="N7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5" spans="1:15">
      <c r="A745" s="9">
        <v>1142605</v>
      </c>
      <c r="B745" s="10">
        <v>14</v>
      </c>
      <c r="C745" s="28">
        <v>1.25E-3</v>
      </c>
      <c r="D745" s="12">
        <f>tb_Auditoria[[#This Row],[% TAXA RELATÓRIO]]*tb_Auditoria[[#This Row],[VALOR CRÉDITO]]</f>
        <v>889.46922500000005</v>
      </c>
      <c r="E745" s="13">
        <v>46174</v>
      </c>
      <c r="F745" s="13" t="s">
        <v>17</v>
      </c>
      <c r="G74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4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5" s="19">
        <f>IFERROR(INDEX([1]!tb_Vendas[Crédito],MATCH(tb_Auditoria[[#This Row],[Nº CONTRATO]],[1]!tb_Vendas[Nº Contrato],0)),0)</f>
        <v>711575.38</v>
      </c>
      <c r="K745" s="21">
        <f>IFERROR(tb_Auditoria[[#This Row],[VALOR ESPERADO]] / tb_Auditoria[[#This Row],[VALOR CRÉDITO]], 0)</f>
        <v>0</v>
      </c>
      <c r="L745" s="19" t="e">
        <f>SUMIFS([1]!Motor_Comissão[Valor Previsto],[1]!Motor_Comissão[Chave], tb_Auditoria[[#This Row],[Nº CONTRATO]]&amp;"-"&amp;tb_Auditoria[[#This Row],[PARCELA ATUAL]])</f>
        <v>#REF!</v>
      </c>
      <c r="M745" s="19" t="e">
        <f>tb_Auditoria[[#This Row],[VALOR PAGO]] - tb_Auditoria[[#This Row],[VALOR ESPERADO]]</f>
        <v>#REF!</v>
      </c>
      <c r="N7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6" spans="1:15">
      <c r="A746" s="9">
        <v>1142606</v>
      </c>
      <c r="B746" s="10">
        <v>14</v>
      </c>
      <c r="C746" s="28">
        <v>1.25E-3</v>
      </c>
      <c r="D746" s="12">
        <f>tb_Auditoria[[#This Row],[% TAXA RELATÓRIO]]*tb_Auditoria[[#This Row],[VALOR CRÉDITO]]</f>
        <v>558.35376250000002</v>
      </c>
      <c r="E746" s="13">
        <v>46174</v>
      </c>
      <c r="F746" s="13" t="s">
        <v>17</v>
      </c>
      <c r="G74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4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6" s="19">
        <f>IFERROR(INDEX([1]!tb_Vendas[Crédito],MATCH(tb_Auditoria[[#This Row],[Nº CONTRATO]],[1]!tb_Vendas[Nº Contrato],0)),0)</f>
        <v>446683.01</v>
      </c>
      <c r="K746" s="21">
        <f>IFERROR(tb_Auditoria[[#This Row],[VALOR ESPERADO]] / tb_Auditoria[[#This Row],[VALOR CRÉDITO]], 0)</f>
        <v>0</v>
      </c>
      <c r="L746" s="19" t="e">
        <f>SUMIFS([1]!Motor_Comissão[Valor Previsto],[1]!Motor_Comissão[Chave], tb_Auditoria[[#This Row],[Nº CONTRATO]]&amp;"-"&amp;tb_Auditoria[[#This Row],[PARCELA ATUAL]])</f>
        <v>#REF!</v>
      </c>
      <c r="M746" s="19" t="e">
        <f>tb_Auditoria[[#This Row],[VALOR PAGO]] - tb_Auditoria[[#This Row],[VALOR ESPERADO]]</f>
        <v>#REF!</v>
      </c>
      <c r="N7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7" spans="1:15">
      <c r="A747" s="9">
        <v>1142607</v>
      </c>
      <c r="B747" s="10">
        <v>14</v>
      </c>
      <c r="C747" s="28">
        <v>1.25E-3</v>
      </c>
      <c r="D747" s="12">
        <f>tb_Auditoria[[#This Row],[% TAXA RELATÓRIO]]*tb_Auditoria[[#This Row],[VALOR CRÉDITO]]</f>
        <v>558.35376250000002</v>
      </c>
      <c r="E747" s="13">
        <v>46174</v>
      </c>
      <c r="F747" s="13" t="s">
        <v>17</v>
      </c>
      <c r="G74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4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7" s="19">
        <f>IFERROR(INDEX([1]!tb_Vendas[Crédito],MATCH(tb_Auditoria[[#This Row],[Nº CONTRATO]],[1]!tb_Vendas[Nº Contrato],0)),0)</f>
        <v>446683.01</v>
      </c>
      <c r="K747" s="21">
        <f>IFERROR(tb_Auditoria[[#This Row],[VALOR ESPERADO]] / tb_Auditoria[[#This Row],[VALOR CRÉDITO]], 0)</f>
        <v>0</v>
      </c>
      <c r="L747" s="19" t="e">
        <f>SUMIFS([1]!Motor_Comissão[Valor Previsto],[1]!Motor_Comissão[Chave], tb_Auditoria[[#This Row],[Nº CONTRATO]]&amp;"-"&amp;tb_Auditoria[[#This Row],[PARCELA ATUAL]])</f>
        <v>#REF!</v>
      </c>
      <c r="M747" s="19" t="e">
        <f>tb_Auditoria[[#This Row],[VALOR PAGO]] - tb_Auditoria[[#This Row],[VALOR ESPERADO]]</f>
        <v>#REF!</v>
      </c>
      <c r="N7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8" spans="1:15">
      <c r="A748" s="9">
        <v>1142608</v>
      </c>
      <c r="B748" s="10">
        <v>14</v>
      </c>
      <c r="C748" s="28">
        <v>1.25E-3</v>
      </c>
      <c r="D748" s="12">
        <f>tb_Auditoria[[#This Row],[% TAXA RELATÓRIO]]*tb_Auditoria[[#This Row],[VALOR CRÉDITO]]</f>
        <v>500</v>
      </c>
      <c r="E748" s="13">
        <v>46174</v>
      </c>
      <c r="F748" s="13" t="s">
        <v>17</v>
      </c>
      <c r="G74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4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8" s="19">
        <f>IFERROR(INDEX([1]!tb_Vendas[Crédito],MATCH(tb_Auditoria[[#This Row],[Nº CONTRATO]],[1]!tb_Vendas[Nº Contrato],0)),0)</f>
        <v>400000</v>
      </c>
      <c r="K748" s="21">
        <f>IFERROR(tb_Auditoria[[#This Row],[VALOR ESPERADO]] / tb_Auditoria[[#This Row],[VALOR CRÉDITO]], 0)</f>
        <v>0</v>
      </c>
      <c r="L748" s="19" t="e">
        <f>SUMIFS([1]!Motor_Comissão[Valor Previsto],[1]!Motor_Comissão[Chave], tb_Auditoria[[#This Row],[Nº CONTRATO]]&amp;"-"&amp;tb_Auditoria[[#This Row],[PARCELA ATUAL]])</f>
        <v>#REF!</v>
      </c>
      <c r="M748" s="19" t="e">
        <f>tb_Auditoria[[#This Row],[VALOR PAGO]] - tb_Auditoria[[#This Row],[VALOR ESPERADO]]</f>
        <v>#REF!</v>
      </c>
      <c r="N7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49" spans="1:15">
      <c r="A749" s="30">
        <v>1142609</v>
      </c>
      <c r="B749" s="25">
        <v>14</v>
      </c>
      <c r="C749" s="28">
        <v>1.25E-3</v>
      </c>
      <c r="D749" s="32">
        <f>tb_Auditoria[[#This Row],[% TAXA RELATÓRIO]]*tb_Auditoria[[#This Row],[VALOR CRÉDITO]]</f>
        <v>500</v>
      </c>
      <c r="E749" s="13">
        <v>46174</v>
      </c>
      <c r="F749" s="13" t="s">
        <v>17</v>
      </c>
      <c r="G74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4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4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49" s="19">
        <f>IFERROR(INDEX([1]!tb_Vendas[Crédito],MATCH(tb_Auditoria[[#This Row],[Nº CONTRATO]],[1]!tb_Vendas[Nº Contrato],0)),0)</f>
        <v>400000</v>
      </c>
      <c r="K749" s="21">
        <f>IFERROR(tb_Auditoria[[#This Row],[VALOR ESPERADO]] / tb_Auditoria[[#This Row],[VALOR CRÉDITO]], 0)</f>
        <v>0</v>
      </c>
      <c r="L749" s="19" t="e">
        <f>SUMIFS([1]!Motor_Comissão[Valor Previsto],[1]!Motor_Comissão[Chave], tb_Auditoria[[#This Row],[Nº CONTRATO]]&amp;"-"&amp;tb_Auditoria[[#This Row],[PARCELA ATUAL]])</f>
        <v>#REF!</v>
      </c>
      <c r="M749" s="19" t="e">
        <f>tb_Auditoria[[#This Row],[VALOR PAGO]] - tb_Auditoria[[#This Row],[VALOR ESPERADO]]</f>
        <v>#REF!</v>
      </c>
      <c r="N7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0" spans="1:15">
      <c r="A750" s="9">
        <v>1142600</v>
      </c>
      <c r="B750" s="10">
        <v>15</v>
      </c>
      <c r="C750" s="28">
        <v>1.25E-3</v>
      </c>
      <c r="D750" s="12">
        <f>tb_Auditoria[[#This Row],[% TAXA RELATÓRIO]]*tb_Auditoria[[#This Row],[VALOR CRÉDITO]]</f>
        <v>363.01557500000001</v>
      </c>
      <c r="E750" s="13">
        <v>46174</v>
      </c>
      <c r="F750" s="13" t="s">
        <v>17</v>
      </c>
      <c r="G75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5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0" s="19">
        <f>IFERROR(INDEX([1]!tb_Vendas[Crédito],MATCH(tb_Auditoria[[#This Row],[Nº CONTRATO]],[1]!tb_Vendas[Nº Contrato],0)),0)</f>
        <v>290412.46000000002</v>
      </c>
      <c r="K750" s="21">
        <f>IFERROR(tb_Auditoria[[#This Row],[VALOR ESPERADO]] / tb_Auditoria[[#This Row],[VALOR CRÉDITO]], 0)</f>
        <v>0</v>
      </c>
      <c r="L750" s="19" t="e">
        <f>SUMIFS([1]!Motor_Comissão[Valor Previsto],[1]!Motor_Comissão[Chave], tb_Auditoria[[#This Row],[Nº CONTRATO]]&amp;"-"&amp;tb_Auditoria[[#This Row],[PARCELA ATUAL]])</f>
        <v>#REF!</v>
      </c>
      <c r="M750" s="19" t="e">
        <f>tb_Auditoria[[#This Row],[VALOR PAGO]] - tb_Auditoria[[#This Row],[VALOR ESPERADO]]</f>
        <v>#REF!</v>
      </c>
      <c r="N7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1" spans="1:15">
      <c r="A751" s="9">
        <v>1142602</v>
      </c>
      <c r="B751" s="10">
        <v>15</v>
      </c>
      <c r="C751" s="28">
        <v>1.25E-3</v>
      </c>
      <c r="D751" s="12">
        <f>tb_Auditoria[[#This Row],[% TAXA RELATÓRIO]]*tb_Auditoria[[#This Row],[VALOR CRÉDITO]]</f>
        <v>362.53067499999997</v>
      </c>
      <c r="E751" s="13">
        <v>46174</v>
      </c>
      <c r="F751" s="13" t="s">
        <v>17</v>
      </c>
      <c r="G75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5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1" s="19">
        <f>IFERROR(INDEX([1]!tb_Vendas[Crédito],MATCH(tb_Auditoria[[#This Row],[Nº CONTRATO]],[1]!tb_Vendas[Nº Contrato],0)),0)</f>
        <v>290024.53999999998</v>
      </c>
      <c r="K751" s="21">
        <f>IFERROR(tb_Auditoria[[#This Row],[VALOR ESPERADO]] / tb_Auditoria[[#This Row],[VALOR CRÉDITO]], 0)</f>
        <v>0</v>
      </c>
      <c r="L751" s="19" t="e">
        <f>SUMIFS([1]!Motor_Comissão[Valor Previsto],[1]!Motor_Comissão[Chave], tb_Auditoria[[#This Row],[Nº CONTRATO]]&amp;"-"&amp;tb_Auditoria[[#This Row],[PARCELA ATUAL]])</f>
        <v>#REF!</v>
      </c>
      <c r="M751" s="19" t="e">
        <f>tb_Auditoria[[#This Row],[VALOR PAGO]] - tb_Auditoria[[#This Row],[VALOR ESPERADO]]</f>
        <v>#REF!</v>
      </c>
      <c r="N7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2" spans="1:15">
      <c r="A752" s="30">
        <v>1142603</v>
      </c>
      <c r="B752" s="25">
        <v>15</v>
      </c>
      <c r="C752" s="28">
        <v>1.25E-3</v>
      </c>
      <c r="D752" s="32">
        <f>tb_Auditoria[[#This Row],[% TAXA RELATÓRIO]]*tb_Auditoria[[#This Row],[VALOR CRÉDITO]]</f>
        <v>340.41753750000004</v>
      </c>
      <c r="E752" s="13">
        <v>46174</v>
      </c>
      <c r="F752" s="13" t="s">
        <v>17</v>
      </c>
      <c r="G75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5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2" s="19">
        <f>IFERROR(INDEX([1]!tb_Vendas[Crédito],MATCH(tb_Auditoria[[#This Row],[Nº CONTRATO]],[1]!tb_Vendas[Nº Contrato],0)),0)</f>
        <v>272334.03000000003</v>
      </c>
      <c r="K752" s="21">
        <f>IFERROR(tb_Auditoria[[#This Row],[VALOR ESPERADO]] / tb_Auditoria[[#This Row],[VALOR CRÉDITO]], 0)</f>
        <v>0</v>
      </c>
      <c r="L752" s="19" t="e">
        <f>SUMIFS([1]!Motor_Comissão[Valor Previsto],[1]!Motor_Comissão[Chave], tb_Auditoria[[#This Row],[Nº CONTRATO]]&amp;"-"&amp;tb_Auditoria[[#This Row],[PARCELA ATUAL]])</f>
        <v>#REF!</v>
      </c>
      <c r="M752" s="19" t="e">
        <f>tb_Auditoria[[#This Row],[VALOR PAGO]] - tb_Auditoria[[#This Row],[VALOR ESPERADO]]</f>
        <v>#REF!</v>
      </c>
      <c r="N7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3" spans="1:15">
      <c r="A753" s="9">
        <v>1142605</v>
      </c>
      <c r="B753" s="10">
        <v>15</v>
      </c>
      <c r="C753" s="28">
        <v>1.25E-3</v>
      </c>
      <c r="D753" s="12">
        <f>tb_Auditoria[[#This Row],[% TAXA RELATÓRIO]]*tb_Auditoria[[#This Row],[VALOR CRÉDITO]]</f>
        <v>889.46922500000005</v>
      </c>
      <c r="E753" s="13">
        <v>46174</v>
      </c>
      <c r="F753" s="13" t="s">
        <v>17</v>
      </c>
      <c r="G75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5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3" s="19">
        <f>IFERROR(INDEX([1]!tb_Vendas[Crédito],MATCH(tb_Auditoria[[#This Row],[Nº CONTRATO]],[1]!tb_Vendas[Nº Contrato],0)),0)</f>
        <v>711575.38</v>
      </c>
      <c r="K753" s="21">
        <f>IFERROR(tb_Auditoria[[#This Row],[VALOR ESPERADO]] / tb_Auditoria[[#This Row],[VALOR CRÉDITO]], 0)</f>
        <v>0</v>
      </c>
      <c r="L753" s="19" t="e">
        <f>SUMIFS([1]!Motor_Comissão[Valor Previsto],[1]!Motor_Comissão[Chave], tb_Auditoria[[#This Row],[Nº CONTRATO]]&amp;"-"&amp;tb_Auditoria[[#This Row],[PARCELA ATUAL]])</f>
        <v>#REF!</v>
      </c>
      <c r="M753" s="19" t="e">
        <f>tb_Auditoria[[#This Row],[VALOR PAGO]] - tb_Auditoria[[#This Row],[VALOR ESPERADO]]</f>
        <v>#REF!</v>
      </c>
      <c r="N7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4" spans="1:15">
      <c r="A754" s="9">
        <v>1142604</v>
      </c>
      <c r="B754" s="10">
        <v>15</v>
      </c>
      <c r="C754" s="28">
        <v>1.25E-3</v>
      </c>
      <c r="D754" s="12">
        <f>tb_Auditoria[[#This Row],[% TAXA RELATÓRIO]]*tb_Auditoria[[#This Row],[VALOR CRÉDITO]]</f>
        <v>889.46922500000005</v>
      </c>
      <c r="E754" s="13">
        <v>46174</v>
      </c>
      <c r="F754" s="13" t="s">
        <v>17</v>
      </c>
      <c r="G75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5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4" s="19">
        <f>IFERROR(INDEX([1]!tb_Vendas[Crédito],MATCH(tb_Auditoria[[#This Row],[Nº CONTRATO]],[1]!tb_Vendas[Nº Contrato],0)),0)</f>
        <v>711575.38</v>
      </c>
      <c r="K754" s="21">
        <f>IFERROR(tb_Auditoria[[#This Row],[VALOR ESPERADO]] / tb_Auditoria[[#This Row],[VALOR CRÉDITO]], 0)</f>
        <v>0</v>
      </c>
      <c r="L754" s="19" t="e">
        <f>SUMIFS([1]!Motor_Comissão[Valor Previsto],[1]!Motor_Comissão[Chave], tb_Auditoria[[#This Row],[Nº CONTRATO]]&amp;"-"&amp;tb_Auditoria[[#This Row],[PARCELA ATUAL]])</f>
        <v>#REF!</v>
      </c>
      <c r="M754" s="19" t="e">
        <f>tb_Auditoria[[#This Row],[VALOR PAGO]] - tb_Auditoria[[#This Row],[VALOR ESPERADO]]</f>
        <v>#REF!</v>
      </c>
      <c r="N7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5" spans="1:15">
      <c r="A755" s="9">
        <v>1142607</v>
      </c>
      <c r="B755" s="10">
        <v>15</v>
      </c>
      <c r="C755" s="28">
        <v>1.25E-3</v>
      </c>
      <c r="D755" s="12">
        <f>tb_Auditoria[[#This Row],[% TAXA RELATÓRIO]]*tb_Auditoria[[#This Row],[VALOR CRÉDITO]]</f>
        <v>558.35376250000002</v>
      </c>
      <c r="E755" s="13">
        <v>46174</v>
      </c>
      <c r="F755" s="13" t="s">
        <v>17</v>
      </c>
      <c r="G75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5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5" s="19">
        <f>IFERROR(INDEX([1]!tb_Vendas[Crédito],MATCH(tb_Auditoria[[#This Row],[Nº CONTRATO]],[1]!tb_Vendas[Nº Contrato],0)),0)</f>
        <v>446683.01</v>
      </c>
      <c r="K755" s="21">
        <f>IFERROR(tb_Auditoria[[#This Row],[VALOR ESPERADO]] / tb_Auditoria[[#This Row],[VALOR CRÉDITO]], 0)</f>
        <v>0</v>
      </c>
      <c r="L755" s="19" t="e">
        <f>SUMIFS([1]!Motor_Comissão[Valor Previsto],[1]!Motor_Comissão[Chave], tb_Auditoria[[#This Row],[Nº CONTRATO]]&amp;"-"&amp;tb_Auditoria[[#This Row],[PARCELA ATUAL]])</f>
        <v>#REF!</v>
      </c>
      <c r="M755" s="19" t="e">
        <f>tb_Auditoria[[#This Row],[VALOR PAGO]] - tb_Auditoria[[#This Row],[VALOR ESPERADO]]</f>
        <v>#REF!</v>
      </c>
      <c r="N7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6" spans="1:15">
      <c r="A756" s="9">
        <v>1142606</v>
      </c>
      <c r="B756" s="10">
        <v>15</v>
      </c>
      <c r="C756" s="28">
        <v>1.25E-3</v>
      </c>
      <c r="D756" s="12">
        <f>tb_Auditoria[[#This Row],[% TAXA RELATÓRIO]]*tb_Auditoria[[#This Row],[VALOR CRÉDITO]]</f>
        <v>558.35376250000002</v>
      </c>
      <c r="E756" s="13">
        <v>46174</v>
      </c>
      <c r="F756" s="13" t="s">
        <v>17</v>
      </c>
      <c r="G75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5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6" s="19">
        <f>IFERROR(INDEX([1]!tb_Vendas[Crédito],MATCH(tb_Auditoria[[#This Row],[Nº CONTRATO]],[1]!tb_Vendas[Nº Contrato],0)),0)</f>
        <v>446683.01</v>
      </c>
      <c r="K756" s="21">
        <f>IFERROR(tb_Auditoria[[#This Row],[VALOR ESPERADO]] / tb_Auditoria[[#This Row],[VALOR CRÉDITO]], 0)</f>
        <v>0</v>
      </c>
      <c r="L756" s="19" t="e">
        <f>SUMIFS([1]!Motor_Comissão[Valor Previsto],[1]!Motor_Comissão[Chave], tb_Auditoria[[#This Row],[Nº CONTRATO]]&amp;"-"&amp;tb_Auditoria[[#This Row],[PARCELA ATUAL]])</f>
        <v>#REF!</v>
      </c>
      <c r="M756" s="19" t="e">
        <f>tb_Auditoria[[#This Row],[VALOR PAGO]] - tb_Auditoria[[#This Row],[VALOR ESPERADO]]</f>
        <v>#REF!</v>
      </c>
      <c r="N7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7" spans="1:15">
      <c r="A757" s="9">
        <v>1142609</v>
      </c>
      <c r="B757" s="10">
        <v>15</v>
      </c>
      <c r="C757" s="28">
        <v>1.25E-3</v>
      </c>
      <c r="D757" s="12">
        <f>tb_Auditoria[[#This Row],[% TAXA RELATÓRIO]]*tb_Auditoria[[#This Row],[VALOR CRÉDITO]]</f>
        <v>500</v>
      </c>
      <c r="E757" s="13">
        <v>46174</v>
      </c>
      <c r="F757" s="13" t="s">
        <v>17</v>
      </c>
      <c r="G75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5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7" s="19">
        <f>IFERROR(INDEX([1]!tb_Vendas[Crédito],MATCH(tb_Auditoria[[#This Row],[Nº CONTRATO]],[1]!tb_Vendas[Nº Contrato],0)),0)</f>
        <v>400000</v>
      </c>
      <c r="K757" s="21">
        <f>IFERROR(tb_Auditoria[[#This Row],[VALOR ESPERADO]] / tb_Auditoria[[#This Row],[VALOR CRÉDITO]], 0)</f>
        <v>0</v>
      </c>
      <c r="L757" s="19" t="e">
        <f>SUMIFS([1]!Motor_Comissão[Valor Previsto],[1]!Motor_Comissão[Chave], tb_Auditoria[[#This Row],[Nº CONTRATO]]&amp;"-"&amp;tb_Auditoria[[#This Row],[PARCELA ATUAL]])</f>
        <v>#REF!</v>
      </c>
      <c r="M757" s="19" t="e">
        <f>tb_Auditoria[[#This Row],[VALOR PAGO]] - tb_Auditoria[[#This Row],[VALOR ESPERADO]]</f>
        <v>#REF!</v>
      </c>
      <c r="N7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8" spans="1:15">
      <c r="A758" s="30">
        <v>1142608</v>
      </c>
      <c r="B758" s="25">
        <v>15</v>
      </c>
      <c r="C758" s="28">
        <v>1.25E-3</v>
      </c>
      <c r="D758" s="32">
        <f>tb_Auditoria[[#This Row],[% TAXA RELATÓRIO]]*tb_Auditoria[[#This Row],[VALOR CRÉDITO]]</f>
        <v>500</v>
      </c>
      <c r="E758" s="13">
        <v>46174</v>
      </c>
      <c r="F758" s="13" t="s">
        <v>17</v>
      </c>
      <c r="G75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5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8" s="19">
        <f>IFERROR(INDEX([1]!tb_Vendas[Crédito],MATCH(tb_Auditoria[[#This Row],[Nº CONTRATO]],[1]!tb_Vendas[Nº Contrato],0)),0)</f>
        <v>400000</v>
      </c>
      <c r="K758" s="21">
        <f>IFERROR(tb_Auditoria[[#This Row],[VALOR ESPERADO]] / tb_Auditoria[[#This Row],[VALOR CRÉDITO]], 0)</f>
        <v>0</v>
      </c>
      <c r="L758" s="19" t="e">
        <f>SUMIFS([1]!Motor_Comissão[Valor Previsto],[1]!Motor_Comissão[Chave], tb_Auditoria[[#This Row],[Nº CONTRATO]]&amp;"-"&amp;tb_Auditoria[[#This Row],[PARCELA ATUAL]])</f>
        <v>#REF!</v>
      </c>
      <c r="M758" s="19" t="e">
        <f>tb_Auditoria[[#This Row],[VALOR PAGO]] - tb_Auditoria[[#This Row],[VALOR ESPERADO]]</f>
        <v>#REF!</v>
      </c>
      <c r="N7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59" spans="1:15">
      <c r="A759" s="9">
        <v>1142600</v>
      </c>
      <c r="B759" s="10">
        <v>16</v>
      </c>
      <c r="C759" s="28">
        <v>1.25E-3</v>
      </c>
      <c r="D759" s="12">
        <f>tb_Auditoria[[#This Row],[% TAXA RELATÓRIO]]*tb_Auditoria[[#This Row],[VALOR CRÉDITO]]</f>
        <v>363.01557500000001</v>
      </c>
      <c r="E759" s="13">
        <v>46174</v>
      </c>
      <c r="F759" s="13" t="s">
        <v>17</v>
      </c>
      <c r="G75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5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5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59" s="19">
        <f>IFERROR(INDEX([1]!tb_Vendas[Crédito],MATCH(tb_Auditoria[[#This Row],[Nº CONTRATO]],[1]!tb_Vendas[Nº Contrato],0)),0)</f>
        <v>290412.46000000002</v>
      </c>
      <c r="K759" s="21">
        <f>IFERROR(tb_Auditoria[[#This Row],[VALOR ESPERADO]] / tb_Auditoria[[#This Row],[VALOR CRÉDITO]], 0)</f>
        <v>0</v>
      </c>
      <c r="L759" s="19" t="e">
        <f>SUMIFS([1]!Motor_Comissão[Valor Previsto],[1]!Motor_Comissão[Chave], tb_Auditoria[[#This Row],[Nº CONTRATO]]&amp;"-"&amp;tb_Auditoria[[#This Row],[PARCELA ATUAL]])</f>
        <v>#REF!</v>
      </c>
      <c r="M759" s="19" t="e">
        <f>tb_Auditoria[[#This Row],[VALOR PAGO]] - tb_Auditoria[[#This Row],[VALOR ESPERADO]]</f>
        <v>#REF!</v>
      </c>
      <c r="N7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0" spans="1:15">
      <c r="A760" s="9">
        <v>1142602</v>
      </c>
      <c r="B760" s="10">
        <v>16</v>
      </c>
      <c r="C760" s="28">
        <v>1.25E-3</v>
      </c>
      <c r="D760" s="12">
        <f>tb_Auditoria[[#This Row],[% TAXA RELATÓRIO]]*tb_Auditoria[[#This Row],[VALOR CRÉDITO]]</f>
        <v>362.53067499999997</v>
      </c>
      <c r="E760" s="13">
        <v>46174</v>
      </c>
      <c r="F760" s="13" t="s">
        <v>17</v>
      </c>
      <c r="G76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6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0" s="19">
        <f>IFERROR(INDEX([1]!tb_Vendas[Crédito],MATCH(tb_Auditoria[[#This Row],[Nº CONTRATO]],[1]!tb_Vendas[Nº Contrato],0)),0)</f>
        <v>290024.53999999998</v>
      </c>
      <c r="K760" s="21">
        <f>IFERROR(tb_Auditoria[[#This Row],[VALOR ESPERADO]] / tb_Auditoria[[#This Row],[VALOR CRÉDITO]], 0)</f>
        <v>0</v>
      </c>
      <c r="L760" s="19" t="e">
        <f>SUMIFS([1]!Motor_Comissão[Valor Previsto],[1]!Motor_Comissão[Chave], tb_Auditoria[[#This Row],[Nº CONTRATO]]&amp;"-"&amp;tb_Auditoria[[#This Row],[PARCELA ATUAL]])</f>
        <v>#REF!</v>
      </c>
      <c r="M760" s="19" t="e">
        <f>tb_Auditoria[[#This Row],[VALOR PAGO]] - tb_Auditoria[[#This Row],[VALOR ESPERADO]]</f>
        <v>#REF!</v>
      </c>
      <c r="N7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1" spans="1:15">
      <c r="A761" s="9">
        <v>1142603</v>
      </c>
      <c r="B761" s="10">
        <v>16</v>
      </c>
      <c r="C761" s="28">
        <v>1.25E-3</v>
      </c>
      <c r="D761" s="12">
        <f>tb_Auditoria[[#This Row],[% TAXA RELATÓRIO]]*tb_Auditoria[[#This Row],[VALOR CRÉDITO]]</f>
        <v>340.41753750000004</v>
      </c>
      <c r="E761" s="13">
        <v>46174</v>
      </c>
      <c r="F761" s="13" t="s">
        <v>17</v>
      </c>
      <c r="G76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6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1" s="19">
        <f>IFERROR(INDEX([1]!tb_Vendas[Crédito],MATCH(tb_Auditoria[[#This Row],[Nº CONTRATO]],[1]!tb_Vendas[Nº Contrato],0)),0)</f>
        <v>272334.03000000003</v>
      </c>
      <c r="K761" s="21">
        <f>IFERROR(tb_Auditoria[[#This Row],[VALOR ESPERADO]] / tb_Auditoria[[#This Row],[VALOR CRÉDITO]], 0)</f>
        <v>0</v>
      </c>
      <c r="L761" s="19" t="e">
        <f>SUMIFS([1]!Motor_Comissão[Valor Previsto],[1]!Motor_Comissão[Chave], tb_Auditoria[[#This Row],[Nº CONTRATO]]&amp;"-"&amp;tb_Auditoria[[#This Row],[PARCELA ATUAL]])</f>
        <v>#REF!</v>
      </c>
      <c r="M761" s="19" t="e">
        <f>tb_Auditoria[[#This Row],[VALOR PAGO]] - tb_Auditoria[[#This Row],[VALOR ESPERADO]]</f>
        <v>#REF!</v>
      </c>
      <c r="N7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2" spans="1:15">
      <c r="A762" s="9">
        <v>1142604</v>
      </c>
      <c r="B762" s="10">
        <v>16</v>
      </c>
      <c r="C762" s="28">
        <v>1.25E-3</v>
      </c>
      <c r="D762" s="12">
        <f>tb_Auditoria[[#This Row],[% TAXA RELATÓRIO]]*tb_Auditoria[[#This Row],[VALOR CRÉDITO]]</f>
        <v>889.46922500000005</v>
      </c>
      <c r="E762" s="13">
        <v>46174</v>
      </c>
      <c r="F762" s="13" t="s">
        <v>17</v>
      </c>
      <c r="G76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6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2" s="19">
        <f>IFERROR(INDEX([1]!tb_Vendas[Crédito],MATCH(tb_Auditoria[[#This Row],[Nº CONTRATO]],[1]!tb_Vendas[Nº Contrato],0)),0)</f>
        <v>711575.38</v>
      </c>
      <c r="K762" s="21">
        <f>IFERROR(tb_Auditoria[[#This Row],[VALOR ESPERADO]] / tb_Auditoria[[#This Row],[VALOR CRÉDITO]], 0)</f>
        <v>0</v>
      </c>
      <c r="L762" s="19" t="e">
        <f>SUMIFS([1]!Motor_Comissão[Valor Previsto],[1]!Motor_Comissão[Chave], tb_Auditoria[[#This Row],[Nº CONTRATO]]&amp;"-"&amp;tb_Auditoria[[#This Row],[PARCELA ATUAL]])</f>
        <v>#REF!</v>
      </c>
      <c r="M762" s="19" t="e">
        <f>tb_Auditoria[[#This Row],[VALOR PAGO]] - tb_Auditoria[[#This Row],[VALOR ESPERADO]]</f>
        <v>#REF!</v>
      </c>
      <c r="N7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3" spans="1:15">
      <c r="A763" s="9">
        <v>1142605</v>
      </c>
      <c r="B763" s="10">
        <v>16</v>
      </c>
      <c r="C763" s="28">
        <v>1.25E-3</v>
      </c>
      <c r="D763" s="12">
        <f>tb_Auditoria[[#This Row],[% TAXA RELATÓRIO]]*tb_Auditoria[[#This Row],[VALOR CRÉDITO]]</f>
        <v>889.46922500000005</v>
      </c>
      <c r="E763" s="13">
        <v>46174</v>
      </c>
      <c r="F763" s="13" t="s">
        <v>17</v>
      </c>
      <c r="G76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6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3" s="19">
        <f>IFERROR(INDEX([1]!tb_Vendas[Crédito],MATCH(tb_Auditoria[[#This Row],[Nº CONTRATO]],[1]!tb_Vendas[Nº Contrato],0)),0)</f>
        <v>711575.38</v>
      </c>
      <c r="K763" s="21">
        <f>IFERROR(tb_Auditoria[[#This Row],[VALOR ESPERADO]] / tb_Auditoria[[#This Row],[VALOR CRÉDITO]], 0)</f>
        <v>0</v>
      </c>
      <c r="L763" s="19" t="e">
        <f>SUMIFS([1]!Motor_Comissão[Valor Previsto],[1]!Motor_Comissão[Chave], tb_Auditoria[[#This Row],[Nº CONTRATO]]&amp;"-"&amp;tb_Auditoria[[#This Row],[PARCELA ATUAL]])</f>
        <v>#REF!</v>
      </c>
      <c r="M763" s="19" t="e">
        <f>tb_Auditoria[[#This Row],[VALOR PAGO]] - tb_Auditoria[[#This Row],[VALOR ESPERADO]]</f>
        <v>#REF!</v>
      </c>
      <c r="N7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4" spans="1:15">
      <c r="A764" s="9">
        <v>1142606</v>
      </c>
      <c r="B764" s="10">
        <v>16</v>
      </c>
      <c r="C764" s="28">
        <v>1.25E-3</v>
      </c>
      <c r="D764" s="12">
        <f>tb_Auditoria[[#This Row],[% TAXA RELATÓRIO]]*tb_Auditoria[[#This Row],[VALOR CRÉDITO]]</f>
        <v>558.35376250000002</v>
      </c>
      <c r="E764" s="13">
        <v>46174</v>
      </c>
      <c r="F764" s="13" t="s">
        <v>17</v>
      </c>
      <c r="G76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6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4" s="19">
        <f>IFERROR(INDEX([1]!tb_Vendas[Crédito],MATCH(tb_Auditoria[[#This Row],[Nº CONTRATO]],[1]!tb_Vendas[Nº Contrato],0)),0)</f>
        <v>446683.01</v>
      </c>
      <c r="K764" s="21">
        <f>IFERROR(tb_Auditoria[[#This Row],[VALOR ESPERADO]] / tb_Auditoria[[#This Row],[VALOR CRÉDITO]], 0)</f>
        <v>0</v>
      </c>
      <c r="L764" s="19" t="e">
        <f>SUMIFS([1]!Motor_Comissão[Valor Previsto],[1]!Motor_Comissão[Chave], tb_Auditoria[[#This Row],[Nº CONTRATO]]&amp;"-"&amp;tb_Auditoria[[#This Row],[PARCELA ATUAL]])</f>
        <v>#REF!</v>
      </c>
      <c r="M764" s="19" t="e">
        <f>tb_Auditoria[[#This Row],[VALOR PAGO]] - tb_Auditoria[[#This Row],[VALOR ESPERADO]]</f>
        <v>#REF!</v>
      </c>
      <c r="N7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5" spans="1:15">
      <c r="A765" s="9">
        <v>1142607</v>
      </c>
      <c r="B765" s="10">
        <v>16</v>
      </c>
      <c r="C765" s="28">
        <v>1.25E-3</v>
      </c>
      <c r="D765" s="12">
        <f>tb_Auditoria[[#This Row],[% TAXA RELATÓRIO]]*tb_Auditoria[[#This Row],[VALOR CRÉDITO]]</f>
        <v>558.35376250000002</v>
      </c>
      <c r="E765" s="13">
        <v>46174</v>
      </c>
      <c r="F765" s="13" t="s">
        <v>17</v>
      </c>
      <c r="G76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6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5" s="19">
        <f>IFERROR(INDEX([1]!tb_Vendas[Crédito],MATCH(tb_Auditoria[[#This Row],[Nº CONTRATO]],[1]!tb_Vendas[Nº Contrato],0)),0)</f>
        <v>446683.01</v>
      </c>
      <c r="K765" s="21">
        <f>IFERROR(tb_Auditoria[[#This Row],[VALOR ESPERADO]] / tb_Auditoria[[#This Row],[VALOR CRÉDITO]], 0)</f>
        <v>0</v>
      </c>
      <c r="L765" s="19" t="e">
        <f>SUMIFS([1]!Motor_Comissão[Valor Previsto],[1]!Motor_Comissão[Chave], tb_Auditoria[[#This Row],[Nº CONTRATO]]&amp;"-"&amp;tb_Auditoria[[#This Row],[PARCELA ATUAL]])</f>
        <v>#REF!</v>
      </c>
      <c r="M765" s="19" t="e">
        <f>tb_Auditoria[[#This Row],[VALOR PAGO]] - tb_Auditoria[[#This Row],[VALOR ESPERADO]]</f>
        <v>#REF!</v>
      </c>
      <c r="N7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6" spans="1:15">
      <c r="A766" s="9">
        <v>1142608</v>
      </c>
      <c r="B766" s="10">
        <v>16</v>
      </c>
      <c r="C766" s="28">
        <v>1.25E-3</v>
      </c>
      <c r="D766" s="12">
        <f>tb_Auditoria[[#This Row],[% TAXA RELATÓRIO]]*tb_Auditoria[[#This Row],[VALOR CRÉDITO]]</f>
        <v>500</v>
      </c>
      <c r="E766" s="13">
        <v>46174</v>
      </c>
      <c r="F766" s="13" t="s">
        <v>17</v>
      </c>
      <c r="G76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6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6" s="19">
        <f>IFERROR(INDEX([1]!tb_Vendas[Crédito],MATCH(tb_Auditoria[[#This Row],[Nº CONTRATO]],[1]!tb_Vendas[Nº Contrato],0)),0)</f>
        <v>400000</v>
      </c>
      <c r="K766" s="21">
        <f>IFERROR(tb_Auditoria[[#This Row],[VALOR ESPERADO]] / tb_Auditoria[[#This Row],[VALOR CRÉDITO]], 0)</f>
        <v>0</v>
      </c>
      <c r="L766" s="19" t="e">
        <f>SUMIFS([1]!Motor_Comissão[Valor Previsto],[1]!Motor_Comissão[Chave], tb_Auditoria[[#This Row],[Nº CONTRATO]]&amp;"-"&amp;tb_Auditoria[[#This Row],[PARCELA ATUAL]])</f>
        <v>#REF!</v>
      </c>
      <c r="M766" s="19" t="e">
        <f>tb_Auditoria[[#This Row],[VALOR PAGO]] - tb_Auditoria[[#This Row],[VALOR ESPERADO]]</f>
        <v>#REF!</v>
      </c>
      <c r="N7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7" spans="1:15">
      <c r="A767" s="30">
        <v>1142609</v>
      </c>
      <c r="B767" s="25">
        <v>16</v>
      </c>
      <c r="C767" s="28">
        <v>1.25E-3</v>
      </c>
      <c r="D767" s="32">
        <f>tb_Auditoria[[#This Row],[% TAXA RELATÓRIO]]*tb_Auditoria[[#This Row],[VALOR CRÉDITO]]</f>
        <v>500</v>
      </c>
      <c r="E767" s="13">
        <v>46174</v>
      </c>
      <c r="F767" s="13" t="s">
        <v>17</v>
      </c>
      <c r="G76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6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7" s="19">
        <f>IFERROR(INDEX([1]!tb_Vendas[Crédito],MATCH(tb_Auditoria[[#This Row],[Nº CONTRATO]],[1]!tb_Vendas[Nº Contrato],0)),0)</f>
        <v>400000</v>
      </c>
      <c r="K767" s="21">
        <f>IFERROR(tb_Auditoria[[#This Row],[VALOR ESPERADO]] / tb_Auditoria[[#This Row],[VALOR CRÉDITO]], 0)</f>
        <v>0</v>
      </c>
      <c r="L767" s="19" t="e">
        <f>SUMIFS([1]!Motor_Comissão[Valor Previsto],[1]!Motor_Comissão[Chave], tb_Auditoria[[#This Row],[Nº CONTRATO]]&amp;"-"&amp;tb_Auditoria[[#This Row],[PARCELA ATUAL]])</f>
        <v>#REF!</v>
      </c>
      <c r="M767" s="19" t="e">
        <f>tb_Auditoria[[#This Row],[VALOR PAGO]] - tb_Auditoria[[#This Row],[VALOR ESPERADO]]</f>
        <v>#REF!</v>
      </c>
      <c r="N7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8" spans="1:15">
      <c r="A768" s="9">
        <v>1142600</v>
      </c>
      <c r="B768" s="10">
        <v>17</v>
      </c>
      <c r="C768" s="28">
        <v>1.25E-3</v>
      </c>
      <c r="D768" s="12">
        <f>tb_Auditoria[[#This Row],[% TAXA RELATÓRIO]]*tb_Auditoria[[#This Row],[VALOR CRÉDITO]]</f>
        <v>363.01557500000001</v>
      </c>
      <c r="E768" s="13">
        <v>46174</v>
      </c>
      <c r="F768" s="13" t="s">
        <v>17</v>
      </c>
      <c r="G76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6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8" s="19">
        <f>IFERROR(INDEX([1]!tb_Vendas[Crédito],MATCH(tb_Auditoria[[#This Row],[Nº CONTRATO]],[1]!tb_Vendas[Nº Contrato],0)),0)</f>
        <v>290412.46000000002</v>
      </c>
      <c r="K768" s="21">
        <f>IFERROR(tb_Auditoria[[#This Row],[VALOR ESPERADO]] / tb_Auditoria[[#This Row],[VALOR CRÉDITO]], 0)</f>
        <v>0</v>
      </c>
      <c r="L768" s="19" t="e">
        <f>SUMIFS([1]!Motor_Comissão[Valor Previsto],[1]!Motor_Comissão[Chave], tb_Auditoria[[#This Row],[Nº CONTRATO]]&amp;"-"&amp;tb_Auditoria[[#This Row],[PARCELA ATUAL]])</f>
        <v>#REF!</v>
      </c>
      <c r="M768" s="19" t="e">
        <f>tb_Auditoria[[#This Row],[VALOR PAGO]] - tb_Auditoria[[#This Row],[VALOR ESPERADO]]</f>
        <v>#REF!</v>
      </c>
      <c r="N76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69" spans="1:15">
      <c r="A769" s="30">
        <v>1142602</v>
      </c>
      <c r="B769" s="25">
        <v>17</v>
      </c>
      <c r="C769" s="28">
        <v>1.25E-3</v>
      </c>
      <c r="D769" s="32">
        <f>tb_Auditoria[[#This Row],[% TAXA RELATÓRIO]]*tb_Auditoria[[#This Row],[VALOR CRÉDITO]]</f>
        <v>362.53067499999997</v>
      </c>
      <c r="E769" s="13">
        <v>46174</v>
      </c>
      <c r="F769" s="13" t="s">
        <v>17</v>
      </c>
      <c r="G76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6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6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69" s="19">
        <f>IFERROR(INDEX([1]!tb_Vendas[Crédito],MATCH(tb_Auditoria[[#This Row],[Nº CONTRATO]],[1]!tb_Vendas[Nº Contrato],0)),0)</f>
        <v>290024.53999999998</v>
      </c>
      <c r="K769" s="21">
        <f>IFERROR(tb_Auditoria[[#This Row],[VALOR ESPERADO]] / tb_Auditoria[[#This Row],[VALOR CRÉDITO]], 0)</f>
        <v>0</v>
      </c>
      <c r="L769" s="19" t="e">
        <f>SUMIFS([1]!Motor_Comissão[Valor Previsto],[1]!Motor_Comissão[Chave], tb_Auditoria[[#This Row],[Nº CONTRATO]]&amp;"-"&amp;tb_Auditoria[[#This Row],[PARCELA ATUAL]])</f>
        <v>#REF!</v>
      </c>
      <c r="M769" s="19" t="e">
        <f>tb_Auditoria[[#This Row],[VALOR PAGO]] - tb_Auditoria[[#This Row],[VALOR ESPERADO]]</f>
        <v>#REF!</v>
      </c>
      <c r="N7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0" spans="1:15">
      <c r="A770" s="30">
        <v>1142603</v>
      </c>
      <c r="B770" s="25">
        <v>17</v>
      </c>
      <c r="C770" s="28">
        <v>1.25E-3</v>
      </c>
      <c r="D770" s="32">
        <f>tb_Auditoria[[#This Row],[% TAXA RELATÓRIO]]*tb_Auditoria[[#This Row],[VALOR CRÉDITO]]</f>
        <v>340.41753750000004</v>
      </c>
      <c r="E770" s="13">
        <v>46174</v>
      </c>
      <c r="F770" s="13" t="s">
        <v>17</v>
      </c>
      <c r="G77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7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0" s="19">
        <f>IFERROR(INDEX([1]!tb_Vendas[Crédito],MATCH(tb_Auditoria[[#This Row],[Nº CONTRATO]],[1]!tb_Vendas[Nº Contrato],0)),0)</f>
        <v>272334.03000000003</v>
      </c>
      <c r="K770" s="21">
        <f>IFERROR(tb_Auditoria[[#This Row],[VALOR ESPERADO]] / tb_Auditoria[[#This Row],[VALOR CRÉDITO]], 0)</f>
        <v>0</v>
      </c>
      <c r="L770" s="19" t="e">
        <f>SUMIFS([1]!Motor_Comissão[Valor Previsto],[1]!Motor_Comissão[Chave], tb_Auditoria[[#This Row],[Nº CONTRATO]]&amp;"-"&amp;tb_Auditoria[[#This Row],[PARCELA ATUAL]])</f>
        <v>#REF!</v>
      </c>
      <c r="M770" s="19" t="e">
        <f>tb_Auditoria[[#This Row],[VALOR PAGO]] - tb_Auditoria[[#This Row],[VALOR ESPERADO]]</f>
        <v>#REF!</v>
      </c>
      <c r="N7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1" spans="1:15">
      <c r="A771" s="9">
        <v>1142605</v>
      </c>
      <c r="B771" s="10">
        <v>17</v>
      </c>
      <c r="C771" s="28">
        <v>1.25E-3</v>
      </c>
      <c r="D771" s="12">
        <f>tb_Auditoria[[#This Row],[% TAXA RELATÓRIO]]*tb_Auditoria[[#This Row],[VALOR CRÉDITO]]</f>
        <v>889.46922500000005</v>
      </c>
      <c r="E771" s="13">
        <v>46174</v>
      </c>
      <c r="F771" s="13" t="s">
        <v>17</v>
      </c>
      <c r="G77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7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1" s="19">
        <f>IFERROR(INDEX([1]!tb_Vendas[Crédito],MATCH(tb_Auditoria[[#This Row],[Nº CONTRATO]],[1]!tb_Vendas[Nº Contrato],0)),0)</f>
        <v>711575.38</v>
      </c>
      <c r="K771" s="21">
        <f>IFERROR(tb_Auditoria[[#This Row],[VALOR ESPERADO]] / tb_Auditoria[[#This Row],[VALOR CRÉDITO]], 0)</f>
        <v>0</v>
      </c>
      <c r="L771" s="19" t="e">
        <f>SUMIFS([1]!Motor_Comissão[Valor Previsto],[1]!Motor_Comissão[Chave], tb_Auditoria[[#This Row],[Nº CONTRATO]]&amp;"-"&amp;tb_Auditoria[[#This Row],[PARCELA ATUAL]])</f>
        <v>#REF!</v>
      </c>
      <c r="M771" s="19" t="e">
        <f>tb_Auditoria[[#This Row],[VALOR PAGO]] - tb_Auditoria[[#This Row],[VALOR ESPERADO]]</f>
        <v>#REF!</v>
      </c>
      <c r="N7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2" spans="1:15">
      <c r="A772" s="9">
        <v>1142604</v>
      </c>
      <c r="B772" s="10">
        <v>17</v>
      </c>
      <c r="C772" s="28">
        <v>1.25E-3</v>
      </c>
      <c r="D772" s="12">
        <f>tb_Auditoria[[#This Row],[% TAXA RELATÓRIO]]*tb_Auditoria[[#This Row],[VALOR CRÉDITO]]</f>
        <v>889.46922500000005</v>
      </c>
      <c r="E772" s="13">
        <v>46174</v>
      </c>
      <c r="F772" s="13" t="s">
        <v>17</v>
      </c>
      <c r="G77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7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2" s="19">
        <f>IFERROR(INDEX([1]!tb_Vendas[Crédito],MATCH(tb_Auditoria[[#This Row],[Nº CONTRATO]],[1]!tb_Vendas[Nº Contrato],0)),0)</f>
        <v>711575.38</v>
      </c>
      <c r="K772" s="21">
        <f>IFERROR(tb_Auditoria[[#This Row],[VALOR ESPERADO]] / tb_Auditoria[[#This Row],[VALOR CRÉDITO]], 0)</f>
        <v>0</v>
      </c>
      <c r="L772" s="19" t="e">
        <f>SUMIFS([1]!Motor_Comissão[Valor Previsto],[1]!Motor_Comissão[Chave], tb_Auditoria[[#This Row],[Nº CONTRATO]]&amp;"-"&amp;tb_Auditoria[[#This Row],[PARCELA ATUAL]])</f>
        <v>#REF!</v>
      </c>
      <c r="M772" s="19" t="e">
        <f>tb_Auditoria[[#This Row],[VALOR PAGO]] - tb_Auditoria[[#This Row],[VALOR ESPERADO]]</f>
        <v>#REF!</v>
      </c>
      <c r="N7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3" spans="1:15">
      <c r="A773" s="30">
        <v>1142607</v>
      </c>
      <c r="B773" s="25">
        <v>17</v>
      </c>
      <c r="C773" s="28">
        <v>1.25E-3</v>
      </c>
      <c r="D773" s="32">
        <f>tb_Auditoria[[#This Row],[% TAXA RELATÓRIO]]*tb_Auditoria[[#This Row],[VALOR CRÉDITO]]</f>
        <v>558.35376250000002</v>
      </c>
      <c r="E773" s="13">
        <v>46174</v>
      </c>
      <c r="F773" s="13" t="s">
        <v>17</v>
      </c>
      <c r="G77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7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3" s="19">
        <f>IFERROR(INDEX([1]!tb_Vendas[Crédito],MATCH(tb_Auditoria[[#This Row],[Nº CONTRATO]],[1]!tb_Vendas[Nº Contrato],0)),0)</f>
        <v>446683.01</v>
      </c>
      <c r="K773" s="21">
        <f>IFERROR(tb_Auditoria[[#This Row],[VALOR ESPERADO]] / tb_Auditoria[[#This Row],[VALOR CRÉDITO]], 0)</f>
        <v>0</v>
      </c>
      <c r="L773" s="19" t="e">
        <f>SUMIFS([1]!Motor_Comissão[Valor Previsto],[1]!Motor_Comissão[Chave], tb_Auditoria[[#This Row],[Nº CONTRATO]]&amp;"-"&amp;tb_Auditoria[[#This Row],[PARCELA ATUAL]])</f>
        <v>#REF!</v>
      </c>
      <c r="M773" s="19" t="e">
        <f>tb_Auditoria[[#This Row],[VALOR PAGO]] - tb_Auditoria[[#This Row],[VALOR ESPERADO]]</f>
        <v>#REF!</v>
      </c>
      <c r="N7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4" spans="1:15">
      <c r="A774" s="30">
        <v>1142606</v>
      </c>
      <c r="B774" s="25">
        <v>17</v>
      </c>
      <c r="C774" s="28">
        <v>1.25E-3</v>
      </c>
      <c r="D774" s="32">
        <f>tb_Auditoria[[#This Row],[% TAXA RELATÓRIO]]*tb_Auditoria[[#This Row],[VALOR CRÉDITO]]</f>
        <v>558.35376250000002</v>
      </c>
      <c r="E774" s="13">
        <v>46174</v>
      </c>
      <c r="F774" s="13" t="s">
        <v>17</v>
      </c>
      <c r="G77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7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4" s="19">
        <f>IFERROR(INDEX([1]!tb_Vendas[Crédito],MATCH(tb_Auditoria[[#This Row],[Nº CONTRATO]],[1]!tb_Vendas[Nº Contrato],0)),0)</f>
        <v>446683.01</v>
      </c>
      <c r="K774" s="21">
        <f>IFERROR(tb_Auditoria[[#This Row],[VALOR ESPERADO]] / tb_Auditoria[[#This Row],[VALOR CRÉDITO]], 0)</f>
        <v>0</v>
      </c>
      <c r="L774" s="19" t="e">
        <f>SUMIFS([1]!Motor_Comissão[Valor Previsto],[1]!Motor_Comissão[Chave], tb_Auditoria[[#This Row],[Nº CONTRATO]]&amp;"-"&amp;tb_Auditoria[[#This Row],[PARCELA ATUAL]])</f>
        <v>#REF!</v>
      </c>
      <c r="M774" s="19" t="e">
        <f>tb_Auditoria[[#This Row],[VALOR PAGO]] - tb_Auditoria[[#This Row],[VALOR ESPERADO]]</f>
        <v>#REF!</v>
      </c>
      <c r="N7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5" spans="1:15">
      <c r="A775" s="9">
        <v>1142609</v>
      </c>
      <c r="B775" s="10">
        <v>17</v>
      </c>
      <c r="C775" s="28">
        <v>1.25E-3</v>
      </c>
      <c r="D775" s="12">
        <f>tb_Auditoria[[#This Row],[% TAXA RELATÓRIO]]*tb_Auditoria[[#This Row],[VALOR CRÉDITO]]</f>
        <v>500</v>
      </c>
      <c r="E775" s="13">
        <v>46174</v>
      </c>
      <c r="F775" s="13" t="s">
        <v>17</v>
      </c>
      <c r="G77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7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5" s="19">
        <f>IFERROR(INDEX([1]!tb_Vendas[Crédito],MATCH(tb_Auditoria[[#This Row],[Nº CONTRATO]],[1]!tb_Vendas[Nº Contrato],0)),0)</f>
        <v>400000</v>
      </c>
      <c r="K775" s="21">
        <f>IFERROR(tb_Auditoria[[#This Row],[VALOR ESPERADO]] / tb_Auditoria[[#This Row],[VALOR CRÉDITO]], 0)</f>
        <v>0</v>
      </c>
      <c r="L775" s="19" t="e">
        <f>SUMIFS([1]!Motor_Comissão[Valor Previsto],[1]!Motor_Comissão[Chave], tb_Auditoria[[#This Row],[Nº CONTRATO]]&amp;"-"&amp;tb_Auditoria[[#This Row],[PARCELA ATUAL]])</f>
        <v>#REF!</v>
      </c>
      <c r="M775" s="19" t="e">
        <f>tb_Auditoria[[#This Row],[VALOR PAGO]] - tb_Auditoria[[#This Row],[VALOR ESPERADO]]</f>
        <v>#REF!</v>
      </c>
      <c r="N7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6" spans="1:15">
      <c r="A776" s="30">
        <v>1142608</v>
      </c>
      <c r="B776" s="25">
        <v>17</v>
      </c>
      <c r="C776" s="28">
        <v>1.25E-3</v>
      </c>
      <c r="D776" s="32">
        <f>tb_Auditoria[[#This Row],[% TAXA RELATÓRIO]]*tb_Auditoria[[#This Row],[VALOR CRÉDITO]]</f>
        <v>500</v>
      </c>
      <c r="E776" s="13">
        <v>46174</v>
      </c>
      <c r="F776" s="13" t="s">
        <v>17</v>
      </c>
      <c r="G77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7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6" s="19">
        <f>IFERROR(INDEX([1]!tb_Vendas[Crédito],MATCH(tb_Auditoria[[#This Row],[Nº CONTRATO]],[1]!tb_Vendas[Nº Contrato],0)),0)</f>
        <v>400000</v>
      </c>
      <c r="K776" s="21">
        <f>IFERROR(tb_Auditoria[[#This Row],[VALOR ESPERADO]] / tb_Auditoria[[#This Row],[VALOR CRÉDITO]], 0)</f>
        <v>0</v>
      </c>
      <c r="L776" s="19" t="e">
        <f>SUMIFS([1]!Motor_Comissão[Valor Previsto],[1]!Motor_Comissão[Chave], tb_Auditoria[[#This Row],[Nº CONTRATO]]&amp;"-"&amp;tb_Auditoria[[#This Row],[PARCELA ATUAL]])</f>
        <v>#REF!</v>
      </c>
      <c r="M776" s="19" t="e">
        <f>tb_Auditoria[[#This Row],[VALOR PAGO]] - tb_Auditoria[[#This Row],[VALOR ESPERADO]]</f>
        <v>#REF!</v>
      </c>
      <c r="N7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7" spans="1:15">
      <c r="A777" s="9">
        <v>1142600</v>
      </c>
      <c r="B777" s="10">
        <v>3</v>
      </c>
      <c r="C777" s="33">
        <v>1.6080000000000001E-3</v>
      </c>
      <c r="D777" s="12">
        <f>tb_Auditoria[[#This Row],[% TAXA RELATÓRIO]]*tb_Auditoria[[#This Row],[VALOR CRÉDITO]]</f>
        <v>466.98323568000006</v>
      </c>
      <c r="E777" s="13">
        <v>46174</v>
      </c>
      <c r="F777" s="13" t="s">
        <v>17</v>
      </c>
      <c r="G77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7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7" s="19">
        <f>IFERROR(INDEX([1]!tb_Vendas[Crédito],MATCH(tb_Auditoria[[#This Row],[Nº CONTRATO]],[1]!tb_Vendas[Nº Contrato],0)),0)</f>
        <v>290412.46000000002</v>
      </c>
      <c r="K777" s="21">
        <f>IFERROR(tb_Auditoria[[#This Row],[VALOR ESPERADO]] / tb_Auditoria[[#This Row],[VALOR CRÉDITO]], 0)</f>
        <v>0</v>
      </c>
      <c r="L777" s="19" t="e">
        <f>SUMIFS([1]!Motor_Comissão[Valor Previsto],[1]!Motor_Comissão[Chave], tb_Auditoria[[#This Row],[Nº CONTRATO]]&amp;"-"&amp;tb_Auditoria[[#This Row],[PARCELA ATUAL]])</f>
        <v>#REF!</v>
      </c>
      <c r="M777" s="19" t="e">
        <f>tb_Auditoria[[#This Row],[VALOR PAGO]] - tb_Auditoria[[#This Row],[VALOR ESPERADO]]</f>
        <v>#REF!</v>
      </c>
      <c r="N7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8" spans="1:15">
      <c r="A778" s="9">
        <v>1142602</v>
      </c>
      <c r="B778" s="10">
        <v>3</v>
      </c>
      <c r="C778" s="33">
        <v>4.6080000000000001E-3</v>
      </c>
      <c r="D778" s="12">
        <f>tb_Auditoria[[#This Row],[% TAXA RELATÓRIO]]*tb_Auditoria[[#This Row],[VALOR CRÉDITO]]</f>
        <v>1336.43308032</v>
      </c>
      <c r="E778" s="13">
        <v>46174</v>
      </c>
      <c r="F778" s="13" t="s">
        <v>17</v>
      </c>
      <c r="G77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7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8" s="19">
        <f>IFERROR(INDEX([1]!tb_Vendas[Crédito],MATCH(tb_Auditoria[[#This Row],[Nº CONTRATO]],[1]!tb_Vendas[Nº Contrato],0)),0)</f>
        <v>290024.53999999998</v>
      </c>
      <c r="K778" s="21">
        <f>IFERROR(tb_Auditoria[[#This Row],[VALOR ESPERADO]] / tb_Auditoria[[#This Row],[VALOR CRÉDITO]], 0)</f>
        <v>0</v>
      </c>
      <c r="L778" s="19" t="e">
        <f>SUMIFS([1]!Motor_Comissão[Valor Previsto],[1]!Motor_Comissão[Chave], tb_Auditoria[[#This Row],[Nº CONTRATO]]&amp;"-"&amp;tb_Auditoria[[#This Row],[PARCELA ATUAL]])</f>
        <v>#REF!</v>
      </c>
      <c r="M778" s="19" t="e">
        <f>tb_Auditoria[[#This Row],[VALOR PAGO]] - tb_Auditoria[[#This Row],[VALOR ESPERADO]]</f>
        <v>#REF!</v>
      </c>
      <c r="N7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79" spans="1:15">
      <c r="A779" s="9">
        <v>1142603</v>
      </c>
      <c r="B779" s="10">
        <v>3</v>
      </c>
      <c r="C779" s="33">
        <v>4.7359999999999998E-3</v>
      </c>
      <c r="D779" s="12">
        <f>tb_Auditoria[[#This Row],[% TAXA RELATÓRIO]]*tb_Auditoria[[#This Row],[VALOR CRÉDITO]]</f>
        <v>1289.77396608</v>
      </c>
      <c r="E779" s="13">
        <v>46174</v>
      </c>
      <c r="F779" s="13" t="s">
        <v>17</v>
      </c>
      <c r="G77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7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7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79" s="19">
        <f>IFERROR(INDEX([1]!tb_Vendas[Crédito],MATCH(tb_Auditoria[[#This Row],[Nº CONTRATO]],[1]!tb_Vendas[Nº Contrato],0)),0)</f>
        <v>272334.03000000003</v>
      </c>
      <c r="K779" s="21">
        <f>IFERROR(tb_Auditoria[[#This Row],[VALOR ESPERADO]] / tb_Auditoria[[#This Row],[VALOR CRÉDITO]], 0)</f>
        <v>0</v>
      </c>
      <c r="L779" s="19" t="e">
        <f>SUMIFS([1]!Motor_Comissão[Valor Previsto],[1]!Motor_Comissão[Chave], tb_Auditoria[[#This Row],[Nº CONTRATO]]&amp;"-"&amp;tb_Auditoria[[#This Row],[PARCELA ATUAL]])</f>
        <v>#REF!</v>
      </c>
      <c r="M779" s="19" t="e">
        <f>tb_Auditoria[[#This Row],[VALOR PAGO]] - tb_Auditoria[[#This Row],[VALOR ESPERADO]]</f>
        <v>#REF!</v>
      </c>
      <c r="N7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0" spans="1:15">
      <c r="A780" s="9">
        <v>1142605</v>
      </c>
      <c r="B780" s="10">
        <v>3</v>
      </c>
      <c r="C780" s="33">
        <v>4.352E-3</v>
      </c>
      <c r="D780" s="12">
        <f>tb_Auditoria[[#This Row],[% TAXA RELATÓRIO]]*tb_Auditoria[[#This Row],[VALOR CRÉDITO]]</f>
        <v>3096.7760537600002</v>
      </c>
      <c r="E780" s="13">
        <v>46174</v>
      </c>
      <c r="F780" s="13" t="s">
        <v>17</v>
      </c>
      <c r="G78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8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0" s="19">
        <f>IFERROR(INDEX([1]!tb_Vendas[Crédito],MATCH(tb_Auditoria[[#This Row],[Nº CONTRATO]],[1]!tb_Vendas[Nº Contrato],0)),0)</f>
        <v>711575.38</v>
      </c>
      <c r="K780" s="21">
        <f>IFERROR(tb_Auditoria[[#This Row],[VALOR ESPERADO]] / tb_Auditoria[[#This Row],[VALOR CRÉDITO]], 0)</f>
        <v>0</v>
      </c>
      <c r="L780" s="19" t="e">
        <f>SUMIFS([1]!Motor_Comissão[Valor Previsto],[1]!Motor_Comissão[Chave], tb_Auditoria[[#This Row],[Nº CONTRATO]]&amp;"-"&amp;tb_Auditoria[[#This Row],[PARCELA ATUAL]])</f>
        <v>#REF!</v>
      </c>
      <c r="M780" s="19" t="e">
        <f>tb_Auditoria[[#This Row],[VALOR PAGO]] - tb_Auditoria[[#This Row],[VALOR ESPERADO]]</f>
        <v>#REF!</v>
      </c>
      <c r="N7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1" spans="1:15">
      <c r="A781" s="9">
        <v>1142607</v>
      </c>
      <c r="B781" s="10">
        <v>3</v>
      </c>
      <c r="C781" s="33">
        <v>4.9919999999999999E-3</v>
      </c>
      <c r="D781" s="12">
        <f>tb_Auditoria[[#This Row],[% TAXA RELATÓRIO]]*tb_Auditoria[[#This Row],[VALOR CRÉDITO]]</f>
        <v>2229.8415859199999</v>
      </c>
      <c r="E781" s="13">
        <v>46174</v>
      </c>
      <c r="F781" s="13" t="s">
        <v>17</v>
      </c>
      <c r="G78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8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1" s="19">
        <f>IFERROR(INDEX([1]!tb_Vendas[Crédito],MATCH(tb_Auditoria[[#This Row],[Nº CONTRATO]],[1]!tb_Vendas[Nº Contrato],0)),0)</f>
        <v>446683.01</v>
      </c>
      <c r="K781" s="21">
        <f>IFERROR(tb_Auditoria[[#This Row],[VALOR ESPERADO]] / tb_Auditoria[[#This Row],[VALOR CRÉDITO]], 0)</f>
        <v>0</v>
      </c>
      <c r="L781" s="19" t="e">
        <f>SUMIFS([1]!Motor_Comissão[Valor Previsto],[1]!Motor_Comissão[Chave], tb_Auditoria[[#This Row],[Nº CONTRATO]]&amp;"-"&amp;tb_Auditoria[[#This Row],[PARCELA ATUAL]])</f>
        <v>#REF!</v>
      </c>
      <c r="M781" s="19" t="e">
        <f>tb_Auditoria[[#This Row],[VALOR PAGO]] - tb_Auditoria[[#This Row],[VALOR ESPERADO]]</f>
        <v>#REF!</v>
      </c>
      <c r="N7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2" spans="1:15">
      <c r="A782" s="9">
        <v>1142606</v>
      </c>
      <c r="B782" s="10">
        <v>3</v>
      </c>
      <c r="C782" s="33">
        <v>4.8640000000000003E-3</v>
      </c>
      <c r="D782" s="12">
        <f>tb_Auditoria[[#This Row],[% TAXA RELATÓRIO]]*tb_Auditoria[[#This Row],[VALOR CRÉDITO]]</f>
        <v>2172.6661606400003</v>
      </c>
      <c r="E782" s="13">
        <v>46174</v>
      </c>
      <c r="F782" s="13" t="s">
        <v>17</v>
      </c>
      <c r="G78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8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2" s="19">
        <f>IFERROR(INDEX([1]!tb_Vendas[Crédito],MATCH(tb_Auditoria[[#This Row],[Nº CONTRATO]],[1]!tb_Vendas[Nº Contrato],0)),0)</f>
        <v>446683.01</v>
      </c>
      <c r="K782" s="21">
        <f>IFERROR(tb_Auditoria[[#This Row],[VALOR ESPERADO]] / tb_Auditoria[[#This Row],[VALOR CRÉDITO]], 0)</f>
        <v>0</v>
      </c>
      <c r="L782" s="19" t="e">
        <f>SUMIFS([1]!Motor_Comissão[Valor Previsto],[1]!Motor_Comissão[Chave], tb_Auditoria[[#This Row],[Nº CONTRATO]]&amp;"-"&amp;tb_Auditoria[[#This Row],[PARCELA ATUAL]])</f>
        <v>#REF!</v>
      </c>
      <c r="M782" s="19" t="e">
        <f>tb_Auditoria[[#This Row],[VALOR PAGO]] - tb_Auditoria[[#This Row],[VALOR ESPERADO]]</f>
        <v>#REF!</v>
      </c>
      <c r="N7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3" spans="1:15">
      <c r="A783" s="9">
        <v>1142609</v>
      </c>
      <c r="B783" s="10">
        <v>3</v>
      </c>
      <c r="C783" s="33">
        <v>5.1200000000000004E-3</v>
      </c>
      <c r="D783" s="12">
        <f>tb_Auditoria[[#This Row],[% TAXA RELATÓRIO]]*tb_Auditoria[[#This Row],[VALOR CRÉDITO]]</f>
        <v>2048</v>
      </c>
      <c r="E783" s="13">
        <v>46174</v>
      </c>
      <c r="F783" s="13" t="s">
        <v>17</v>
      </c>
      <c r="G78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8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3" s="19">
        <f>IFERROR(INDEX([1]!tb_Vendas[Crédito],MATCH(tb_Auditoria[[#This Row],[Nº CONTRATO]],[1]!tb_Vendas[Nº Contrato],0)),0)</f>
        <v>400000</v>
      </c>
      <c r="K783" s="21">
        <f>IFERROR(tb_Auditoria[[#This Row],[VALOR ESPERADO]] / tb_Auditoria[[#This Row],[VALOR CRÉDITO]], 0)</f>
        <v>0</v>
      </c>
      <c r="L783" s="19" t="e">
        <f>SUMIFS([1]!Motor_Comissão[Valor Previsto],[1]!Motor_Comissão[Chave], tb_Auditoria[[#This Row],[Nº CONTRATO]]&amp;"-"&amp;tb_Auditoria[[#This Row],[PARCELA ATUAL]])</f>
        <v>#REF!</v>
      </c>
      <c r="M783" s="19" t="e">
        <f>tb_Auditoria[[#This Row],[VALOR PAGO]] - tb_Auditoria[[#This Row],[VALOR ESPERADO]]</f>
        <v>#REF!</v>
      </c>
      <c r="N7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4" spans="1:15">
      <c r="A784" s="30">
        <v>1142608</v>
      </c>
      <c r="B784" s="25">
        <v>3</v>
      </c>
      <c r="C784" s="34">
        <v>5.1200000000000004E-3</v>
      </c>
      <c r="D784" s="32">
        <f>tb_Auditoria[[#This Row],[% TAXA RELATÓRIO]]*tb_Auditoria[[#This Row],[VALOR CRÉDITO]]</f>
        <v>2048</v>
      </c>
      <c r="E784" s="13">
        <v>46174</v>
      </c>
      <c r="F784" s="13" t="s">
        <v>17</v>
      </c>
      <c r="G78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8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4" s="19">
        <f>IFERROR(INDEX([1]!tb_Vendas[Crédito],MATCH(tb_Auditoria[[#This Row],[Nº CONTRATO]],[1]!tb_Vendas[Nº Contrato],0)),0)</f>
        <v>400000</v>
      </c>
      <c r="K784" s="21">
        <f>IFERROR(tb_Auditoria[[#This Row],[VALOR ESPERADO]] / tb_Auditoria[[#This Row],[VALOR CRÉDITO]], 0)</f>
        <v>0</v>
      </c>
      <c r="L784" s="19" t="e">
        <f>SUMIFS([1]!Motor_Comissão[Valor Previsto],[1]!Motor_Comissão[Chave], tb_Auditoria[[#This Row],[Nº CONTRATO]]&amp;"-"&amp;tb_Auditoria[[#This Row],[PARCELA ATUAL]])</f>
        <v>#REF!</v>
      </c>
      <c r="M784" s="19" t="e">
        <f>tb_Auditoria[[#This Row],[VALOR PAGO]] - tb_Auditoria[[#This Row],[VALOR ESPERADO]]</f>
        <v>#REF!</v>
      </c>
      <c r="N7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5" spans="1:15">
      <c r="A785" s="9">
        <v>1142600</v>
      </c>
      <c r="B785" s="10">
        <v>1</v>
      </c>
      <c r="C785" s="33">
        <v>4.8079999999999998E-3</v>
      </c>
      <c r="D785" s="12">
        <f>tb_Auditoria[[#This Row],[% TAXA RELATÓRIO]]*tb_Auditoria[[#This Row],[VALOR CRÉDITO]]</f>
        <v>1396.30310768</v>
      </c>
      <c r="E785" s="13">
        <v>46174</v>
      </c>
      <c r="F785" s="13" t="s">
        <v>17</v>
      </c>
      <c r="G78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8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5" s="19">
        <f>IFERROR(INDEX([1]!tb_Vendas[Crédito],MATCH(tb_Auditoria[[#This Row],[Nº CONTRATO]],[1]!tb_Vendas[Nº Contrato],0)),0)</f>
        <v>290412.46000000002</v>
      </c>
      <c r="K785" s="21">
        <f>IFERROR(tb_Auditoria[[#This Row],[VALOR ESPERADO]] / tb_Auditoria[[#This Row],[VALOR CRÉDITO]], 0)</f>
        <v>0</v>
      </c>
      <c r="L785" s="19" t="e">
        <f>SUMIFS([1]!Motor_Comissão[Valor Previsto],[1]!Motor_Comissão[Chave], tb_Auditoria[[#This Row],[Nº CONTRATO]]&amp;"-"&amp;tb_Auditoria[[#This Row],[PARCELA ATUAL]])</f>
        <v>#REF!</v>
      </c>
      <c r="M785" s="19" t="e">
        <f>tb_Auditoria[[#This Row],[VALOR PAGO]] - tb_Auditoria[[#This Row],[VALOR ESPERADO]]</f>
        <v>#REF!</v>
      </c>
      <c r="N7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6" spans="1:15">
      <c r="A786" s="9">
        <v>1142602</v>
      </c>
      <c r="B786" s="10">
        <v>1</v>
      </c>
      <c r="C786" s="33">
        <v>4.6080000000000001E-3</v>
      </c>
      <c r="D786" s="12">
        <f>tb_Auditoria[[#This Row],[% TAXA RELATÓRIO]]*tb_Auditoria[[#This Row],[VALOR CRÉDITO]]</f>
        <v>1336.43308032</v>
      </c>
      <c r="E786" s="13">
        <v>46174</v>
      </c>
      <c r="F786" s="13" t="s">
        <v>17</v>
      </c>
      <c r="G78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8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6" s="19">
        <f>IFERROR(INDEX([1]!tb_Vendas[Crédito],MATCH(tb_Auditoria[[#This Row],[Nº CONTRATO]],[1]!tb_Vendas[Nº Contrato],0)),0)</f>
        <v>290024.53999999998</v>
      </c>
      <c r="K786" s="21">
        <f>IFERROR(tb_Auditoria[[#This Row],[VALOR ESPERADO]] / tb_Auditoria[[#This Row],[VALOR CRÉDITO]], 0)</f>
        <v>0</v>
      </c>
      <c r="L786" s="19" t="e">
        <f>SUMIFS([1]!Motor_Comissão[Valor Previsto],[1]!Motor_Comissão[Chave], tb_Auditoria[[#This Row],[Nº CONTRATO]]&amp;"-"&amp;tb_Auditoria[[#This Row],[PARCELA ATUAL]])</f>
        <v>#REF!</v>
      </c>
      <c r="M786" s="19" t="e">
        <f>tb_Auditoria[[#This Row],[VALOR PAGO]] - tb_Auditoria[[#This Row],[VALOR ESPERADO]]</f>
        <v>#REF!</v>
      </c>
      <c r="N7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7" spans="1:15">
      <c r="A787" s="30">
        <v>1142603</v>
      </c>
      <c r="B787" s="25">
        <v>1</v>
      </c>
      <c r="C787" s="34">
        <v>4.6080000000000001E-3</v>
      </c>
      <c r="D787" s="32">
        <f>tb_Auditoria[[#This Row],[% TAXA RELATÓRIO]]*tb_Auditoria[[#This Row],[VALOR CRÉDITO]]</f>
        <v>1254.9152102400001</v>
      </c>
      <c r="E787" s="13">
        <v>46174</v>
      </c>
      <c r="F787" s="13" t="s">
        <v>17</v>
      </c>
      <c r="G78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8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7" s="19">
        <f>IFERROR(INDEX([1]!tb_Vendas[Crédito],MATCH(tb_Auditoria[[#This Row],[Nº CONTRATO]],[1]!tb_Vendas[Nº Contrato],0)),0)</f>
        <v>272334.03000000003</v>
      </c>
      <c r="K787" s="21">
        <f>IFERROR(tb_Auditoria[[#This Row],[VALOR ESPERADO]] / tb_Auditoria[[#This Row],[VALOR CRÉDITO]], 0)</f>
        <v>0</v>
      </c>
      <c r="L787" s="19" t="e">
        <f>SUMIFS([1]!Motor_Comissão[Valor Previsto],[1]!Motor_Comissão[Chave], tb_Auditoria[[#This Row],[Nº CONTRATO]]&amp;"-"&amp;tb_Auditoria[[#This Row],[PARCELA ATUAL]])</f>
        <v>#REF!</v>
      </c>
      <c r="M787" s="19" t="e">
        <f>tb_Auditoria[[#This Row],[VALOR PAGO]] - tb_Auditoria[[#This Row],[VALOR ESPERADO]]</f>
        <v>#REF!</v>
      </c>
      <c r="N7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8" spans="1:15">
      <c r="A788" s="9">
        <v>1142605</v>
      </c>
      <c r="B788" s="10">
        <v>1</v>
      </c>
      <c r="C788" s="33">
        <v>4.352E-3</v>
      </c>
      <c r="D788" s="12">
        <f>tb_Auditoria[[#This Row],[% TAXA RELATÓRIO]]*tb_Auditoria[[#This Row],[VALOR CRÉDITO]]</f>
        <v>3096.7760537600002</v>
      </c>
      <c r="E788" s="13">
        <v>46174</v>
      </c>
      <c r="F788" s="13" t="s">
        <v>17</v>
      </c>
      <c r="G78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8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8" s="19">
        <f>IFERROR(INDEX([1]!tb_Vendas[Crédito],MATCH(tb_Auditoria[[#This Row],[Nº CONTRATO]],[1]!tb_Vendas[Nº Contrato],0)),0)</f>
        <v>711575.38</v>
      </c>
      <c r="K788" s="21">
        <f>IFERROR(tb_Auditoria[[#This Row],[VALOR ESPERADO]] / tb_Auditoria[[#This Row],[VALOR CRÉDITO]], 0)</f>
        <v>0</v>
      </c>
      <c r="L788" s="19" t="e">
        <f>SUMIFS([1]!Motor_Comissão[Valor Previsto],[1]!Motor_Comissão[Chave], tb_Auditoria[[#This Row],[Nº CONTRATO]]&amp;"-"&amp;tb_Auditoria[[#This Row],[PARCELA ATUAL]])</f>
        <v>#REF!</v>
      </c>
      <c r="M788" s="19" t="e">
        <f>tb_Auditoria[[#This Row],[VALOR PAGO]] - tb_Auditoria[[#This Row],[VALOR ESPERADO]]</f>
        <v>#REF!</v>
      </c>
      <c r="N7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89" spans="1:15">
      <c r="A789" s="9">
        <v>1142604</v>
      </c>
      <c r="B789" s="10">
        <v>1</v>
      </c>
      <c r="C789" s="33">
        <v>4.352E-3</v>
      </c>
      <c r="D789" s="12">
        <f>tb_Auditoria[[#This Row],[% TAXA RELATÓRIO]]*tb_Auditoria[[#This Row],[VALOR CRÉDITO]]</f>
        <v>3096.7760537600002</v>
      </c>
      <c r="E789" s="13">
        <v>46174</v>
      </c>
      <c r="F789" s="13" t="s">
        <v>17</v>
      </c>
      <c r="G78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8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8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89" s="19">
        <f>IFERROR(INDEX([1]!tb_Vendas[Crédito],MATCH(tb_Auditoria[[#This Row],[Nº CONTRATO]],[1]!tb_Vendas[Nº Contrato],0)),0)</f>
        <v>711575.38</v>
      </c>
      <c r="K789" s="21">
        <f>IFERROR(tb_Auditoria[[#This Row],[VALOR ESPERADO]] / tb_Auditoria[[#This Row],[VALOR CRÉDITO]], 0)</f>
        <v>0</v>
      </c>
      <c r="L789" s="19" t="e">
        <f>SUMIFS([1]!Motor_Comissão[Valor Previsto],[1]!Motor_Comissão[Chave], tb_Auditoria[[#This Row],[Nº CONTRATO]]&amp;"-"&amp;tb_Auditoria[[#This Row],[PARCELA ATUAL]])</f>
        <v>#REF!</v>
      </c>
      <c r="M789" s="19" t="e">
        <f>tb_Auditoria[[#This Row],[VALOR PAGO]] - tb_Auditoria[[#This Row],[VALOR ESPERADO]]</f>
        <v>#REF!</v>
      </c>
      <c r="N7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0" spans="1:15">
      <c r="A790" s="9">
        <v>1142607</v>
      </c>
      <c r="B790" s="10">
        <v>1</v>
      </c>
      <c r="C790" s="33">
        <v>4.9919999999999999E-3</v>
      </c>
      <c r="D790" s="12">
        <f>tb_Auditoria[[#This Row],[% TAXA RELATÓRIO]]*tb_Auditoria[[#This Row],[VALOR CRÉDITO]]</f>
        <v>2229.8415859199999</v>
      </c>
      <c r="E790" s="13">
        <v>46174</v>
      </c>
      <c r="F790" s="13" t="s">
        <v>17</v>
      </c>
      <c r="G79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9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0" s="19">
        <f>IFERROR(INDEX([1]!tb_Vendas[Crédito],MATCH(tb_Auditoria[[#This Row],[Nº CONTRATO]],[1]!tb_Vendas[Nº Contrato],0)),0)</f>
        <v>446683.01</v>
      </c>
      <c r="K790" s="21">
        <f>IFERROR(tb_Auditoria[[#This Row],[VALOR ESPERADO]] / tb_Auditoria[[#This Row],[VALOR CRÉDITO]], 0)</f>
        <v>0</v>
      </c>
      <c r="L790" s="19" t="e">
        <f>SUMIFS([1]!Motor_Comissão[Valor Previsto],[1]!Motor_Comissão[Chave], tb_Auditoria[[#This Row],[Nº CONTRATO]]&amp;"-"&amp;tb_Auditoria[[#This Row],[PARCELA ATUAL]])</f>
        <v>#REF!</v>
      </c>
      <c r="M790" s="19" t="e">
        <f>tb_Auditoria[[#This Row],[VALOR PAGO]] - tb_Auditoria[[#This Row],[VALOR ESPERADO]]</f>
        <v>#REF!</v>
      </c>
      <c r="N7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1" spans="1:15">
      <c r="A791" s="9">
        <v>1142606</v>
      </c>
      <c r="B791" s="10">
        <v>1</v>
      </c>
      <c r="C791" s="33">
        <v>4.9919999999999999E-3</v>
      </c>
      <c r="D791" s="12">
        <f>tb_Auditoria[[#This Row],[% TAXA RELATÓRIO]]*tb_Auditoria[[#This Row],[VALOR CRÉDITO]]</f>
        <v>2229.8415859199999</v>
      </c>
      <c r="E791" s="13">
        <v>46174</v>
      </c>
      <c r="F791" s="13" t="s">
        <v>17</v>
      </c>
      <c r="G79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9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1" s="19">
        <f>IFERROR(INDEX([1]!tb_Vendas[Crédito],MATCH(tb_Auditoria[[#This Row],[Nº CONTRATO]],[1]!tb_Vendas[Nº Contrato],0)),0)</f>
        <v>446683.01</v>
      </c>
      <c r="K791" s="21">
        <f>IFERROR(tb_Auditoria[[#This Row],[VALOR ESPERADO]] / tb_Auditoria[[#This Row],[VALOR CRÉDITO]], 0)</f>
        <v>0</v>
      </c>
      <c r="L791" s="19" t="e">
        <f>SUMIFS([1]!Motor_Comissão[Valor Previsto],[1]!Motor_Comissão[Chave], tb_Auditoria[[#This Row],[Nº CONTRATO]]&amp;"-"&amp;tb_Auditoria[[#This Row],[PARCELA ATUAL]])</f>
        <v>#REF!</v>
      </c>
      <c r="M791" s="19" t="e">
        <f>tb_Auditoria[[#This Row],[VALOR PAGO]] - tb_Auditoria[[#This Row],[VALOR ESPERADO]]</f>
        <v>#REF!</v>
      </c>
      <c r="N7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2" spans="1:15">
      <c r="A792" s="9">
        <v>1142609</v>
      </c>
      <c r="B792" s="10">
        <v>1</v>
      </c>
      <c r="C792" s="33">
        <v>5.1200000000000004E-3</v>
      </c>
      <c r="D792" s="12">
        <f>tb_Auditoria[[#This Row],[% TAXA RELATÓRIO]]*tb_Auditoria[[#This Row],[VALOR CRÉDITO]]</f>
        <v>2048</v>
      </c>
      <c r="E792" s="13">
        <v>46174</v>
      </c>
      <c r="F792" s="13" t="s">
        <v>17</v>
      </c>
      <c r="G79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9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2" s="19">
        <f>IFERROR(INDEX([1]!tb_Vendas[Crédito],MATCH(tb_Auditoria[[#This Row],[Nº CONTRATO]],[1]!tb_Vendas[Nº Contrato],0)),0)</f>
        <v>400000</v>
      </c>
      <c r="K792" s="21">
        <f>IFERROR(tb_Auditoria[[#This Row],[VALOR ESPERADO]] / tb_Auditoria[[#This Row],[VALOR CRÉDITO]], 0)</f>
        <v>0</v>
      </c>
      <c r="L792" s="19" t="e">
        <f>SUMIFS([1]!Motor_Comissão[Valor Previsto],[1]!Motor_Comissão[Chave], tb_Auditoria[[#This Row],[Nº CONTRATO]]&amp;"-"&amp;tb_Auditoria[[#This Row],[PARCELA ATUAL]])</f>
        <v>#REF!</v>
      </c>
      <c r="M792" s="19" t="e">
        <f>tb_Auditoria[[#This Row],[VALOR PAGO]] - tb_Auditoria[[#This Row],[VALOR ESPERADO]]</f>
        <v>#REF!</v>
      </c>
      <c r="N7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3" spans="1:15">
      <c r="A793" s="30">
        <v>1142608</v>
      </c>
      <c r="B793" s="25">
        <v>1</v>
      </c>
      <c r="C793" s="34">
        <v>4.9919999999999999E-3</v>
      </c>
      <c r="D793" s="32">
        <f>tb_Auditoria[[#This Row],[% TAXA RELATÓRIO]]*tb_Auditoria[[#This Row],[VALOR CRÉDITO]]</f>
        <v>1996.8</v>
      </c>
      <c r="E793" s="13">
        <v>46174</v>
      </c>
      <c r="F793" s="13" t="s">
        <v>17</v>
      </c>
      <c r="G79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9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3" s="19">
        <f>IFERROR(INDEX([1]!tb_Vendas[Crédito],MATCH(tb_Auditoria[[#This Row],[Nº CONTRATO]],[1]!tb_Vendas[Nº Contrato],0)),0)</f>
        <v>400000</v>
      </c>
      <c r="K793" s="21">
        <f>IFERROR(tb_Auditoria[[#This Row],[VALOR ESPERADO]] / tb_Auditoria[[#This Row],[VALOR CRÉDITO]], 0)</f>
        <v>0</v>
      </c>
      <c r="L793" s="19" t="e">
        <f>SUMIFS([1]!Motor_Comissão[Valor Previsto],[1]!Motor_Comissão[Chave], tb_Auditoria[[#This Row],[Nº CONTRATO]]&amp;"-"&amp;tb_Auditoria[[#This Row],[PARCELA ATUAL]])</f>
        <v>#REF!</v>
      </c>
      <c r="M793" s="19" t="e">
        <f>tb_Auditoria[[#This Row],[VALOR PAGO]] - tb_Auditoria[[#This Row],[VALOR ESPERADO]]</f>
        <v>#REF!</v>
      </c>
      <c r="N7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4" spans="1:15">
      <c r="A794" s="9">
        <v>1142611</v>
      </c>
      <c r="B794" s="10">
        <v>1</v>
      </c>
      <c r="C794" s="28">
        <v>0</v>
      </c>
      <c r="D794" s="12">
        <f>tb_Auditoria[[#This Row],[% TAXA RELATÓRIO]]*tb_Auditoria[[#This Row],[VALOR CRÉDITO]]</f>
        <v>0</v>
      </c>
      <c r="E794" s="13">
        <v>46174</v>
      </c>
      <c r="F794" s="13" t="s">
        <v>17</v>
      </c>
      <c r="G79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9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4" s="19">
        <f>IFERROR(INDEX([1]!tb_Vendas[Crédito],MATCH(tb_Auditoria[[#This Row],[Nº CONTRATO]],[1]!tb_Vendas[Nº Contrato],0)),0)</f>
        <v>400000</v>
      </c>
      <c r="K794" s="21">
        <f>IFERROR(tb_Auditoria[[#This Row],[VALOR ESPERADO]] / tb_Auditoria[[#This Row],[VALOR CRÉDITO]], 0)</f>
        <v>0</v>
      </c>
      <c r="L794" s="19" t="e">
        <f>SUMIFS([1]!Motor_Comissão[Valor Previsto],[1]!Motor_Comissão[Chave], tb_Auditoria[[#This Row],[Nº CONTRATO]]&amp;"-"&amp;tb_Auditoria[[#This Row],[PARCELA ATUAL]])</f>
        <v>#REF!</v>
      </c>
      <c r="M794" s="19" t="e">
        <f>tb_Auditoria[[#This Row],[VALOR PAGO]] - tb_Auditoria[[#This Row],[VALOR ESPERADO]]</f>
        <v>#REF!</v>
      </c>
      <c r="N79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5" spans="1:15">
      <c r="A795" s="9">
        <v>1142611</v>
      </c>
      <c r="B795" s="10">
        <v>2</v>
      </c>
      <c r="C795" s="28">
        <v>0</v>
      </c>
      <c r="D795" s="12">
        <f>tb_Auditoria[[#This Row],[% TAXA RELATÓRIO]]*tb_Auditoria[[#This Row],[VALOR CRÉDITO]]</f>
        <v>0</v>
      </c>
      <c r="E795" s="13">
        <v>46174</v>
      </c>
      <c r="F795" s="13" t="s">
        <v>17</v>
      </c>
      <c r="G79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9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5" s="19">
        <f>IFERROR(INDEX([1]!tb_Vendas[Crédito],MATCH(tb_Auditoria[[#This Row],[Nº CONTRATO]],[1]!tb_Vendas[Nº Contrato],0)),0)</f>
        <v>400000</v>
      </c>
      <c r="K795" s="21">
        <f>IFERROR(tb_Auditoria[[#This Row],[VALOR ESPERADO]] / tb_Auditoria[[#This Row],[VALOR CRÉDITO]], 0)</f>
        <v>0</v>
      </c>
      <c r="L795" s="19" t="e">
        <f>SUMIFS([1]!Motor_Comissão[Valor Previsto],[1]!Motor_Comissão[Chave], tb_Auditoria[[#This Row],[Nº CONTRATO]]&amp;"-"&amp;tb_Auditoria[[#This Row],[PARCELA ATUAL]])</f>
        <v>#REF!</v>
      </c>
      <c r="M795" s="19" t="e">
        <f>tb_Auditoria[[#This Row],[VALOR PAGO]] - tb_Auditoria[[#This Row],[VALOR ESPERADO]]</f>
        <v>#REF!</v>
      </c>
      <c r="N7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6" spans="1:15">
      <c r="A796" s="9">
        <v>1142611</v>
      </c>
      <c r="B796" s="10">
        <v>3</v>
      </c>
      <c r="C796" s="28">
        <v>0</v>
      </c>
      <c r="D796" s="12">
        <f>tb_Auditoria[[#This Row],[% TAXA RELATÓRIO]]*tb_Auditoria[[#This Row],[VALOR CRÉDITO]]</f>
        <v>0</v>
      </c>
      <c r="E796" s="13">
        <v>46174</v>
      </c>
      <c r="F796" s="13" t="s">
        <v>17</v>
      </c>
      <c r="G79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9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6" s="19">
        <f>IFERROR(INDEX([1]!tb_Vendas[Crédito],MATCH(tb_Auditoria[[#This Row],[Nº CONTRATO]],[1]!tb_Vendas[Nº Contrato],0)),0)</f>
        <v>400000</v>
      </c>
      <c r="K796" s="21">
        <f>IFERROR(tb_Auditoria[[#This Row],[VALOR ESPERADO]] / tb_Auditoria[[#This Row],[VALOR CRÉDITO]], 0)</f>
        <v>0</v>
      </c>
      <c r="L796" s="19" t="e">
        <f>SUMIFS([1]!Motor_Comissão[Valor Previsto],[1]!Motor_Comissão[Chave], tb_Auditoria[[#This Row],[Nº CONTRATO]]&amp;"-"&amp;tb_Auditoria[[#This Row],[PARCELA ATUAL]])</f>
        <v>#REF!</v>
      </c>
      <c r="M796" s="19" t="e">
        <f>tb_Auditoria[[#This Row],[VALOR PAGO]] - tb_Auditoria[[#This Row],[VALOR ESPERADO]]</f>
        <v>#REF!</v>
      </c>
      <c r="N7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7" spans="1:15">
      <c r="A797" s="9">
        <v>1142611</v>
      </c>
      <c r="B797" s="10">
        <v>4</v>
      </c>
      <c r="C797" s="28">
        <v>0</v>
      </c>
      <c r="D797" s="12">
        <f>tb_Auditoria[[#This Row],[% TAXA RELATÓRIO]]*tb_Auditoria[[#This Row],[VALOR CRÉDITO]]</f>
        <v>0</v>
      </c>
      <c r="E797" s="13">
        <v>46174</v>
      </c>
      <c r="F797" s="13" t="s">
        <v>17</v>
      </c>
      <c r="G79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9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7" s="19">
        <f>IFERROR(INDEX([1]!tb_Vendas[Crédito],MATCH(tb_Auditoria[[#This Row],[Nº CONTRATO]],[1]!tb_Vendas[Nº Contrato],0)),0)</f>
        <v>400000</v>
      </c>
      <c r="K797" s="21">
        <f>IFERROR(tb_Auditoria[[#This Row],[VALOR ESPERADO]] / tb_Auditoria[[#This Row],[VALOR CRÉDITO]], 0)</f>
        <v>0</v>
      </c>
      <c r="L797" s="19" t="e">
        <f>SUMIFS([1]!Motor_Comissão[Valor Previsto],[1]!Motor_Comissão[Chave], tb_Auditoria[[#This Row],[Nº CONTRATO]]&amp;"-"&amp;tb_Auditoria[[#This Row],[PARCELA ATUAL]])</f>
        <v>#REF!</v>
      </c>
      <c r="M797" s="19" t="e">
        <f>tb_Auditoria[[#This Row],[VALOR PAGO]] - tb_Auditoria[[#This Row],[VALOR ESPERADO]]</f>
        <v>#REF!</v>
      </c>
      <c r="N7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8" spans="1:15">
      <c r="A798" s="9">
        <v>1142611</v>
      </c>
      <c r="B798" s="10">
        <v>5</v>
      </c>
      <c r="C798" s="28">
        <v>0</v>
      </c>
      <c r="D798" s="12">
        <f>tb_Auditoria[[#This Row],[% TAXA RELATÓRIO]]*tb_Auditoria[[#This Row],[VALOR CRÉDITO]]</f>
        <v>0</v>
      </c>
      <c r="E798" s="13">
        <v>46174</v>
      </c>
      <c r="F798" s="13" t="s">
        <v>17</v>
      </c>
      <c r="G79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9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8" s="19">
        <f>IFERROR(INDEX([1]!tb_Vendas[Crédito],MATCH(tb_Auditoria[[#This Row],[Nº CONTRATO]],[1]!tb_Vendas[Nº Contrato],0)),0)</f>
        <v>400000</v>
      </c>
      <c r="K798" s="21">
        <f>IFERROR(tb_Auditoria[[#This Row],[VALOR ESPERADO]] / tb_Auditoria[[#This Row],[VALOR CRÉDITO]], 0)</f>
        <v>0</v>
      </c>
      <c r="L798" s="19" t="e">
        <f>SUMIFS([1]!Motor_Comissão[Valor Previsto],[1]!Motor_Comissão[Chave], tb_Auditoria[[#This Row],[Nº CONTRATO]]&amp;"-"&amp;tb_Auditoria[[#This Row],[PARCELA ATUAL]])</f>
        <v>#REF!</v>
      </c>
      <c r="M798" s="19" t="e">
        <f>tb_Auditoria[[#This Row],[VALOR PAGO]] - tb_Auditoria[[#This Row],[VALOR ESPERADO]]</f>
        <v>#REF!</v>
      </c>
      <c r="N7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799" spans="1:15">
      <c r="A799" s="9">
        <v>1142611</v>
      </c>
      <c r="B799" s="10">
        <v>6</v>
      </c>
      <c r="C799" s="28">
        <v>0</v>
      </c>
      <c r="D799" s="12">
        <f>tb_Auditoria[[#This Row],[% TAXA RELATÓRIO]]*tb_Auditoria[[#This Row],[VALOR CRÉDITO]]</f>
        <v>0</v>
      </c>
      <c r="E799" s="13">
        <v>46174</v>
      </c>
      <c r="F799" s="13" t="s">
        <v>17</v>
      </c>
      <c r="G79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79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79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799" s="19">
        <f>IFERROR(INDEX([1]!tb_Vendas[Crédito],MATCH(tb_Auditoria[[#This Row],[Nº CONTRATO]],[1]!tb_Vendas[Nº Contrato],0)),0)</f>
        <v>400000</v>
      </c>
      <c r="K799" s="21">
        <f>IFERROR(tb_Auditoria[[#This Row],[VALOR ESPERADO]] / tb_Auditoria[[#This Row],[VALOR CRÉDITO]], 0)</f>
        <v>0</v>
      </c>
      <c r="L799" s="19" t="e">
        <f>SUMIFS([1]!Motor_Comissão[Valor Previsto],[1]!Motor_Comissão[Chave], tb_Auditoria[[#This Row],[Nº CONTRATO]]&amp;"-"&amp;tb_Auditoria[[#This Row],[PARCELA ATUAL]])</f>
        <v>#REF!</v>
      </c>
      <c r="M799" s="19" t="e">
        <f>tb_Auditoria[[#This Row],[VALOR PAGO]] - tb_Auditoria[[#This Row],[VALOR ESPERADO]]</f>
        <v>#REF!</v>
      </c>
      <c r="N7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7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0" spans="1:15">
      <c r="A800" s="9">
        <v>1142611</v>
      </c>
      <c r="B800" s="10">
        <v>7</v>
      </c>
      <c r="C800" s="28">
        <v>0</v>
      </c>
      <c r="D800" s="12">
        <f>tb_Auditoria[[#This Row],[% TAXA RELATÓRIO]]*tb_Auditoria[[#This Row],[VALOR CRÉDITO]]</f>
        <v>0</v>
      </c>
      <c r="E800" s="13">
        <v>46174</v>
      </c>
      <c r="F800" s="13" t="s">
        <v>17</v>
      </c>
      <c r="G80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0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0" s="19">
        <f>IFERROR(INDEX([1]!tb_Vendas[Crédito],MATCH(tb_Auditoria[[#This Row],[Nº CONTRATO]],[1]!tb_Vendas[Nº Contrato],0)),0)</f>
        <v>400000</v>
      </c>
      <c r="K800" s="21">
        <f>IFERROR(tb_Auditoria[[#This Row],[VALOR ESPERADO]] / tb_Auditoria[[#This Row],[VALOR CRÉDITO]], 0)</f>
        <v>0</v>
      </c>
      <c r="L800" s="19" t="e">
        <f>SUMIFS([1]!Motor_Comissão[Valor Previsto],[1]!Motor_Comissão[Chave], tb_Auditoria[[#This Row],[Nº CONTRATO]]&amp;"-"&amp;tb_Auditoria[[#This Row],[PARCELA ATUAL]])</f>
        <v>#REF!</v>
      </c>
      <c r="M800" s="19" t="e">
        <f>tb_Auditoria[[#This Row],[VALOR PAGO]] - tb_Auditoria[[#This Row],[VALOR ESPERADO]]</f>
        <v>#REF!</v>
      </c>
      <c r="N8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1" spans="1:15">
      <c r="A801" s="9">
        <v>1142611</v>
      </c>
      <c r="B801" s="10">
        <v>8</v>
      </c>
      <c r="C801" s="28">
        <v>0</v>
      </c>
      <c r="D801" s="12">
        <f>tb_Auditoria[[#This Row],[% TAXA RELATÓRIO]]*tb_Auditoria[[#This Row],[VALOR CRÉDITO]]</f>
        <v>0</v>
      </c>
      <c r="E801" s="13">
        <v>46174</v>
      </c>
      <c r="F801" s="13" t="s">
        <v>17</v>
      </c>
      <c r="G80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0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1" s="19">
        <f>IFERROR(INDEX([1]!tb_Vendas[Crédito],MATCH(tb_Auditoria[[#This Row],[Nº CONTRATO]],[1]!tb_Vendas[Nº Contrato],0)),0)</f>
        <v>400000</v>
      </c>
      <c r="K801" s="21">
        <f>IFERROR(tb_Auditoria[[#This Row],[VALOR ESPERADO]] / tb_Auditoria[[#This Row],[VALOR CRÉDITO]], 0)</f>
        <v>0</v>
      </c>
      <c r="L801" s="19" t="e">
        <f>SUMIFS([1]!Motor_Comissão[Valor Previsto],[1]!Motor_Comissão[Chave], tb_Auditoria[[#This Row],[Nº CONTRATO]]&amp;"-"&amp;tb_Auditoria[[#This Row],[PARCELA ATUAL]])</f>
        <v>#REF!</v>
      </c>
      <c r="M801" s="19" t="e">
        <f>tb_Auditoria[[#This Row],[VALOR PAGO]] - tb_Auditoria[[#This Row],[VALOR ESPERADO]]</f>
        <v>#REF!</v>
      </c>
      <c r="N8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2" spans="1:15">
      <c r="A802" s="9">
        <v>1142611</v>
      </c>
      <c r="B802" s="10">
        <v>9</v>
      </c>
      <c r="C802" s="28">
        <v>0</v>
      </c>
      <c r="D802" s="12">
        <f>tb_Auditoria[[#This Row],[% TAXA RELATÓRIO]]*tb_Auditoria[[#This Row],[VALOR CRÉDITO]]</f>
        <v>0</v>
      </c>
      <c r="E802" s="13">
        <v>46174</v>
      </c>
      <c r="F802" s="13" t="s">
        <v>17</v>
      </c>
      <c r="G80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0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2" s="19">
        <f>IFERROR(INDEX([1]!tb_Vendas[Crédito],MATCH(tb_Auditoria[[#This Row],[Nº CONTRATO]],[1]!tb_Vendas[Nº Contrato],0)),0)</f>
        <v>400000</v>
      </c>
      <c r="K802" s="21">
        <f>IFERROR(tb_Auditoria[[#This Row],[VALOR ESPERADO]] / tb_Auditoria[[#This Row],[VALOR CRÉDITO]], 0)</f>
        <v>0</v>
      </c>
      <c r="L802" s="19" t="e">
        <f>SUMIFS([1]!Motor_Comissão[Valor Previsto],[1]!Motor_Comissão[Chave], tb_Auditoria[[#This Row],[Nº CONTRATO]]&amp;"-"&amp;tb_Auditoria[[#This Row],[PARCELA ATUAL]])</f>
        <v>#REF!</v>
      </c>
      <c r="M802" s="19" t="e">
        <f>tb_Auditoria[[#This Row],[VALOR PAGO]] - tb_Auditoria[[#This Row],[VALOR ESPERADO]]</f>
        <v>#REF!</v>
      </c>
      <c r="N8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3" spans="1:15">
      <c r="A803" s="9">
        <v>1142611</v>
      </c>
      <c r="B803" s="10">
        <v>10</v>
      </c>
      <c r="C803" s="28">
        <v>0</v>
      </c>
      <c r="D803" s="12">
        <f>tb_Auditoria[[#This Row],[% TAXA RELATÓRIO]]*tb_Auditoria[[#This Row],[VALOR CRÉDITO]]</f>
        <v>0</v>
      </c>
      <c r="E803" s="13">
        <v>46174</v>
      </c>
      <c r="F803" s="13" t="s">
        <v>17</v>
      </c>
      <c r="G80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0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3" s="19">
        <f>IFERROR(INDEX([1]!tb_Vendas[Crédito],MATCH(tb_Auditoria[[#This Row],[Nº CONTRATO]],[1]!tb_Vendas[Nº Contrato],0)),0)</f>
        <v>400000</v>
      </c>
      <c r="K803" s="21">
        <f>IFERROR(tb_Auditoria[[#This Row],[VALOR ESPERADO]] / tb_Auditoria[[#This Row],[VALOR CRÉDITO]], 0)</f>
        <v>0</v>
      </c>
      <c r="L803" s="19" t="e">
        <f>SUMIFS([1]!Motor_Comissão[Valor Previsto],[1]!Motor_Comissão[Chave], tb_Auditoria[[#This Row],[Nº CONTRATO]]&amp;"-"&amp;tb_Auditoria[[#This Row],[PARCELA ATUAL]])</f>
        <v>#REF!</v>
      </c>
      <c r="M803" s="19" t="e">
        <f>tb_Auditoria[[#This Row],[VALOR PAGO]] - tb_Auditoria[[#This Row],[VALOR ESPERADO]]</f>
        <v>#REF!</v>
      </c>
      <c r="N8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4" spans="1:15">
      <c r="A804" s="30">
        <v>1142613</v>
      </c>
      <c r="B804" s="35">
        <v>3</v>
      </c>
      <c r="C804" s="31">
        <v>0</v>
      </c>
      <c r="D804" s="32">
        <f>tb_Auditoria[[#This Row],[% TAXA RELATÓRIO]]*tb_Auditoria[[#This Row],[VALOR CRÉDITO]]</f>
        <v>0</v>
      </c>
      <c r="E804" s="13">
        <v>46174</v>
      </c>
      <c r="F804" s="13" t="s">
        <v>17</v>
      </c>
      <c r="G80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0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4" s="19">
        <f>IFERROR(INDEX([1]!tb_Vendas[Crédito],MATCH(tb_Auditoria[[#This Row],[Nº CONTRATO]],[1]!tb_Vendas[Nº Contrato],0)),0)</f>
        <v>300000</v>
      </c>
      <c r="K804" s="21">
        <f>IFERROR(tb_Auditoria[[#This Row],[VALOR ESPERADO]] / tb_Auditoria[[#This Row],[VALOR CRÉDITO]], 0)</f>
        <v>0</v>
      </c>
      <c r="L804" s="19" t="e">
        <f>SUMIFS([1]!Motor_Comissão[Valor Previsto],[1]!Motor_Comissão[Chave], tb_Auditoria[[#This Row],[Nº CONTRATO]]&amp;"-"&amp;tb_Auditoria[[#This Row],[PARCELA ATUAL]])</f>
        <v>#REF!</v>
      </c>
      <c r="M804" s="19" t="e">
        <f>tb_Auditoria[[#This Row],[VALOR PAGO]] - tb_Auditoria[[#This Row],[VALOR ESPERADO]]</f>
        <v>#REF!</v>
      </c>
      <c r="N8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5" spans="1:15">
      <c r="A805" s="30">
        <v>1142613</v>
      </c>
      <c r="B805" s="35">
        <v>4</v>
      </c>
      <c r="C805" s="31">
        <v>0</v>
      </c>
      <c r="D805" s="32">
        <f>tb_Auditoria[[#This Row],[% TAXA RELATÓRIO]]*tb_Auditoria[[#This Row],[VALOR CRÉDITO]]</f>
        <v>0</v>
      </c>
      <c r="E805" s="13">
        <v>46174</v>
      </c>
      <c r="F805" s="13" t="s">
        <v>17</v>
      </c>
      <c r="G80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0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5" s="19">
        <f>IFERROR(INDEX([1]!tb_Vendas[Crédito],MATCH(tb_Auditoria[[#This Row],[Nº CONTRATO]],[1]!tb_Vendas[Nº Contrato],0)),0)</f>
        <v>300000</v>
      </c>
      <c r="K805" s="21">
        <f>IFERROR(tb_Auditoria[[#This Row],[VALOR ESPERADO]] / tb_Auditoria[[#This Row],[VALOR CRÉDITO]], 0)</f>
        <v>0</v>
      </c>
      <c r="L805" s="19" t="e">
        <f>SUMIFS([1]!Motor_Comissão[Valor Previsto],[1]!Motor_Comissão[Chave], tb_Auditoria[[#This Row],[Nº CONTRATO]]&amp;"-"&amp;tb_Auditoria[[#This Row],[PARCELA ATUAL]])</f>
        <v>#REF!</v>
      </c>
      <c r="M805" s="19" t="e">
        <f>tb_Auditoria[[#This Row],[VALOR PAGO]] - tb_Auditoria[[#This Row],[VALOR ESPERADO]]</f>
        <v>#REF!</v>
      </c>
      <c r="N8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6" spans="1:15">
      <c r="A806" s="30">
        <v>1142613</v>
      </c>
      <c r="B806" s="35">
        <v>5</v>
      </c>
      <c r="C806" s="31">
        <v>0</v>
      </c>
      <c r="D806" s="32">
        <f>tb_Auditoria[[#This Row],[% TAXA RELATÓRIO]]*tb_Auditoria[[#This Row],[VALOR CRÉDITO]]</f>
        <v>0</v>
      </c>
      <c r="E806" s="13">
        <v>46174</v>
      </c>
      <c r="F806" s="13" t="s">
        <v>17</v>
      </c>
      <c r="G80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0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6" s="19">
        <f>IFERROR(INDEX([1]!tb_Vendas[Crédito],MATCH(tb_Auditoria[[#This Row],[Nº CONTRATO]],[1]!tb_Vendas[Nº Contrato],0)),0)</f>
        <v>300000</v>
      </c>
      <c r="K806" s="21">
        <f>IFERROR(tb_Auditoria[[#This Row],[VALOR ESPERADO]] / tb_Auditoria[[#This Row],[VALOR CRÉDITO]], 0)</f>
        <v>0</v>
      </c>
      <c r="L806" s="19" t="e">
        <f>SUMIFS([1]!Motor_Comissão[Valor Previsto],[1]!Motor_Comissão[Chave], tb_Auditoria[[#This Row],[Nº CONTRATO]]&amp;"-"&amp;tb_Auditoria[[#This Row],[PARCELA ATUAL]])</f>
        <v>#REF!</v>
      </c>
      <c r="M806" s="19" t="e">
        <f>tb_Auditoria[[#This Row],[VALOR PAGO]] - tb_Auditoria[[#This Row],[VALOR ESPERADO]]</f>
        <v>#REF!</v>
      </c>
      <c r="N8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7" spans="1:15">
      <c r="A807" s="30">
        <v>1142613</v>
      </c>
      <c r="B807" s="35">
        <v>6</v>
      </c>
      <c r="C807" s="31">
        <v>0</v>
      </c>
      <c r="D807" s="32">
        <f>tb_Auditoria[[#This Row],[% TAXA RELATÓRIO]]*tb_Auditoria[[#This Row],[VALOR CRÉDITO]]</f>
        <v>0</v>
      </c>
      <c r="E807" s="13">
        <v>46174</v>
      </c>
      <c r="F807" s="13" t="s">
        <v>17</v>
      </c>
      <c r="G80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0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7" s="19">
        <f>IFERROR(INDEX([1]!tb_Vendas[Crédito],MATCH(tb_Auditoria[[#This Row],[Nº CONTRATO]],[1]!tb_Vendas[Nº Contrato],0)),0)</f>
        <v>300000</v>
      </c>
      <c r="K807" s="21">
        <f>IFERROR(tb_Auditoria[[#This Row],[VALOR ESPERADO]] / tb_Auditoria[[#This Row],[VALOR CRÉDITO]], 0)</f>
        <v>0</v>
      </c>
      <c r="L807" s="19" t="e">
        <f>SUMIFS([1]!Motor_Comissão[Valor Previsto],[1]!Motor_Comissão[Chave], tb_Auditoria[[#This Row],[Nº CONTRATO]]&amp;"-"&amp;tb_Auditoria[[#This Row],[PARCELA ATUAL]])</f>
        <v>#REF!</v>
      </c>
      <c r="M807" s="19" t="e">
        <f>tb_Auditoria[[#This Row],[VALOR PAGO]] - tb_Auditoria[[#This Row],[VALOR ESPERADO]]</f>
        <v>#REF!</v>
      </c>
      <c r="N8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8" spans="1:15">
      <c r="A808" s="30">
        <v>1142613</v>
      </c>
      <c r="B808" s="35">
        <v>7</v>
      </c>
      <c r="C808" s="31">
        <v>0</v>
      </c>
      <c r="D808" s="32">
        <f>tb_Auditoria[[#This Row],[% TAXA RELATÓRIO]]*tb_Auditoria[[#This Row],[VALOR CRÉDITO]]</f>
        <v>0</v>
      </c>
      <c r="E808" s="13">
        <v>46174</v>
      </c>
      <c r="F808" s="13" t="s">
        <v>17</v>
      </c>
      <c r="G80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0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8" s="19">
        <f>IFERROR(INDEX([1]!tb_Vendas[Crédito],MATCH(tb_Auditoria[[#This Row],[Nº CONTRATO]],[1]!tb_Vendas[Nº Contrato],0)),0)</f>
        <v>300000</v>
      </c>
      <c r="K808" s="21">
        <f>IFERROR(tb_Auditoria[[#This Row],[VALOR ESPERADO]] / tb_Auditoria[[#This Row],[VALOR CRÉDITO]], 0)</f>
        <v>0</v>
      </c>
      <c r="L808" s="19" t="e">
        <f>SUMIFS([1]!Motor_Comissão[Valor Previsto],[1]!Motor_Comissão[Chave], tb_Auditoria[[#This Row],[Nº CONTRATO]]&amp;"-"&amp;tb_Auditoria[[#This Row],[PARCELA ATUAL]])</f>
        <v>#REF!</v>
      </c>
      <c r="M808" s="19" t="e">
        <f>tb_Auditoria[[#This Row],[VALOR PAGO]] - tb_Auditoria[[#This Row],[VALOR ESPERADO]]</f>
        <v>#REF!</v>
      </c>
      <c r="N8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09" spans="1:15">
      <c r="A809" s="30">
        <v>1142613</v>
      </c>
      <c r="B809" s="35">
        <v>8</v>
      </c>
      <c r="C809" s="31">
        <v>0</v>
      </c>
      <c r="D809" s="32">
        <f>tb_Auditoria[[#This Row],[% TAXA RELATÓRIO]]*tb_Auditoria[[#This Row],[VALOR CRÉDITO]]</f>
        <v>0</v>
      </c>
      <c r="E809" s="13">
        <v>46174</v>
      </c>
      <c r="F809" s="13" t="s">
        <v>17</v>
      </c>
      <c r="G80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0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0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09" s="19">
        <f>IFERROR(INDEX([1]!tb_Vendas[Crédito],MATCH(tb_Auditoria[[#This Row],[Nº CONTRATO]],[1]!tb_Vendas[Nº Contrato],0)),0)</f>
        <v>300000</v>
      </c>
      <c r="K809" s="21">
        <f>IFERROR(tb_Auditoria[[#This Row],[VALOR ESPERADO]] / tb_Auditoria[[#This Row],[VALOR CRÉDITO]], 0)</f>
        <v>0</v>
      </c>
      <c r="L809" s="19" t="e">
        <f>SUMIFS([1]!Motor_Comissão[Valor Previsto],[1]!Motor_Comissão[Chave], tb_Auditoria[[#This Row],[Nº CONTRATO]]&amp;"-"&amp;tb_Auditoria[[#This Row],[PARCELA ATUAL]])</f>
        <v>#REF!</v>
      </c>
      <c r="M809" s="19" t="e">
        <f>tb_Auditoria[[#This Row],[VALOR PAGO]] - tb_Auditoria[[#This Row],[VALOR ESPERADO]]</f>
        <v>#REF!</v>
      </c>
      <c r="N8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0" spans="1:15">
      <c r="A810" s="30">
        <v>1142613</v>
      </c>
      <c r="B810" s="35">
        <v>9</v>
      </c>
      <c r="C810" s="31">
        <v>0</v>
      </c>
      <c r="D810" s="32">
        <f>tb_Auditoria[[#This Row],[% TAXA RELATÓRIO]]*tb_Auditoria[[#This Row],[VALOR CRÉDITO]]</f>
        <v>0</v>
      </c>
      <c r="E810" s="13">
        <v>46174</v>
      </c>
      <c r="F810" s="13" t="s">
        <v>17</v>
      </c>
      <c r="G81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1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0" s="19">
        <f>IFERROR(INDEX([1]!tb_Vendas[Crédito],MATCH(tb_Auditoria[[#This Row],[Nº CONTRATO]],[1]!tb_Vendas[Nº Contrato],0)),0)</f>
        <v>300000</v>
      </c>
      <c r="K810" s="21">
        <f>IFERROR(tb_Auditoria[[#This Row],[VALOR ESPERADO]] / tb_Auditoria[[#This Row],[VALOR CRÉDITO]], 0)</f>
        <v>0</v>
      </c>
      <c r="L810" s="19" t="e">
        <f>SUMIFS([1]!Motor_Comissão[Valor Previsto],[1]!Motor_Comissão[Chave], tb_Auditoria[[#This Row],[Nº CONTRATO]]&amp;"-"&amp;tb_Auditoria[[#This Row],[PARCELA ATUAL]])</f>
        <v>#REF!</v>
      </c>
      <c r="M810" s="19" t="e">
        <f>tb_Auditoria[[#This Row],[VALOR PAGO]] - tb_Auditoria[[#This Row],[VALOR ESPERADO]]</f>
        <v>#REF!</v>
      </c>
      <c r="N8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1" spans="1:15">
      <c r="A811" s="30">
        <v>1142613</v>
      </c>
      <c r="B811" s="35">
        <v>10</v>
      </c>
      <c r="C811" s="31">
        <v>0</v>
      </c>
      <c r="D811" s="32">
        <f>tb_Auditoria[[#This Row],[% TAXA RELATÓRIO]]*tb_Auditoria[[#This Row],[VALOR CRÉDITO]]</f>
        <v>0</v>
      </c>
      <c r="E811" s="13">
        <v>46174</v>
      </c>
      <c r="F811" s="13" t="s">
        <v>17</v>
      </c>
      <c r="G81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1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1" s="19">
        <f>IFERROR(INDEX([1]!tb_Vendas[Crédito],MATCH(tb_Auditoria[[#This Row],[Nº CONTRATO]],[1]!tb_Vendas[Nº Contrato],0)),0)</f>
        <v>300000</v>
      </c>
      <c r="K811" s="21">
        <f>IFERROR(tb_Auditoria[[#This Row],[VALOR ESPERADO]] / tb_Auditoria[[#This Row],[VALOR CRÉDITO]], 0)</f>
        <v>0</v>
      </c>
      <c r="L811" s="19" t="e">
        <f>SUMIFS([1]!Motor_Comissão[Valor Previsto],[1]!Motor_Comissão[Chave], tb_Auditoria[[#This Row],[Nº CONTRATO]]&amp;"-"&amp;tb_Auditoria[[#This Row],[PARCELA ATUAL]])</f>
        <v>#REF!</v>
      </c>
      <c r="M811" s="19" t="e">
        <f>tb_Auditoria[[#This Row],[VALOR PAGO]] - tb_Auditoria[[#This Row],[VALOR ESPERADO]]</f>
        <v>#REF!</v>
      </c>
      <c r="N8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2" spans="1:15">
      <c r="A812" s="30">
        <v>1142613</v>
      </c>
      <c r="B812" s="25">
        <v>1</v>
      </c>
      <c r="C812" s="31">
        <v>0</v>
      </c>
      <c r="D812" s="32">
        <f>tb_Auditoria[[#This Row],[% TAXA RELATÓRIO]]*tb_Auditoria[[#This Row],[VALOR CRÉDITO]]</f>
        <v>0</v>
      </c>
      <c r="E812" s="13">
        <v>46174</v>
      </c>
      <c r="F812" s="13" t="s">
        <v>17</v>
      </c>
      <c r="G81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1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2" s="19">
        <f>IFERROR(INDEX([1]!tb_Vendas[Crédito],MATCH(tb_Auditoria[[#This Row],[Nº CONTRATO]],[1]!tb_Vendas[Nº Contrato],0)),0)</f>
        <v>300000</v>
      </c>
      <c r="K812" s="21">
        <f>IFERROR(tb_Auditoria[[#This Row],[VALOR ESPERADO]] / tb_Auditoria[[#This Row],[VALOR CRÉDITO]], 0)</f>
        <v>0</v>
      </c>
      <c r="L812" s="19" t="e">
        <f>SUMIFS([1]!Motor_Comissão[Valor Previsto],[1]!Motor_Comissão[Chave], tb_Auditoria[[#This Row],[Nº CONTRATO]]&amp;"-"&amp;tb_Auditoria[[#This Row],[PARCELA ATUAL]])</f>
        <v>#REF!</v>
      </c>
      <c r="M812" s="19" t="e">
        <f>tb_Auditoria[[#This Row],[VALOR PAGO]] - tb_Auditoria[[#This Row],[VALOR ESPERADO]]</f>
        <v>#REF!</v>
      </c>
      <c r="N8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3" spans="1:15">
      <c r="A813" s="30">
        <v>1142613</v>
      </c>
      <c r="B813" s="25">
        <v>2</v>
      </c>
      <c r="C813" s="31">
        <v>0</v>
      </c>
      <c r="D813" s="32">
        <f>tb_Auditoria[[#This Row],[% TAXA RELATÓRIO]]*tb_Auditoria[[#This Row],[VALOR CRÉDITO]]</f>
        <v>0</v>
      </c>
      <c r="E813" s="13">
        <v>46174</v>
      </c>
      <c r="F813" s="13" t="s">
        <v>17</v>
      </c>
      <c r="G81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1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3" s="19">
        <f>IFERROR(INDEX([1]!tb_Vendas[Crédito],MATCH(tb_Auditoria[[#This Row],[Nº CONTRATO]],[1]!tb_Vendas[Nº Contrato],0)),0)</f>
        <v>300000</v>
      </c>
      <c r="K813" s="21">
        <f>IFERROR(tb_Auditoria[[#This Row],[VALOR ESPERADO]] / tb_Auditoria[[#This Row],[VALOR CRÉDITO]], 0)</f>
        <v>0</v>
      </c>
      <c r="L813" s="19" t="e">
        <f>SUMIFS([1]!Motor_Comissão[Valor Previsto],[1]!Motor_Comissão[Chave], tb_Auditoria[[#This Row],[Nº CONTRATO]]&amp;"-"&amp;tb_Auditoria[[#This Row],[PARCELA ATUAL]])</f>
        <v>#REF!</v>
      </c>
      <c r="M813" s="19" t="e">
        <f>tb_Auditoria[[#This Row],[VALOR PAGO]] - tb_Auditoria[[#This Row],[VALOR ESPERADO]]</f>
        <v>#REF!</v>
      </c>
      <c r="N8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4" spans="1:15">
      <c r="A814" s="30">
        <v>1142614</v>
      </c>
      <c r="B814" s="25">
        <v>1</v>
      </c>
      <c r="C814" s="31">
        <v>0</v>
      </c>
      <c r="D814" s="32">
        <f>tb_Auditoria[[#This Row],[% TAXA RELATÓRIO]]*tb_Auditoria[[#This Row],[VALOR CRÉDITO]]</f>
        <v>0</v>
      </c>
      <c r="E814" s="13">
        <v>46174</v>
      </c>
      <c r="F814" s="13" t="s">
        <v>17</v>
      </c>
      <c r="G81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1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4" s="19">
        <f>IFERROR(INDEX([1]!tb_Vendas[Crédito],MATCH(tb_Auditoria[[#This Row],[Nº CONTRATO]],[1]!tb_Vendas[Nº Contrato],0)),0)</f>
        <v>300000</v>
      </c>
      <c r="K814" s="21">
        <f>IFERROR(tb_Auditoria[[#This Row],[VALOR ESPERADO]] / tb_Auditoria[[#This Row],[VALOR CRÉDITO]], 0)</f>
        <v>0</v>
      </c>
      <c r="L814" s="19" t="e">
        <f>SUMIFS([1]!Motor_Comissão[Valor Previsto],[1]!Motor_Comissão[Chave], tb_Auditoria[[#This Row],[Nº CONTRATO]]&amp;"-"&amp;tb_Auditoria[[#This Row],[PARCELA ATUAL]])</f>
        <v>#REF!</v>
      </c>
      <c r="M814" s="19" t="e">
        <f>tb_Auditoria[[#This Row],[VALOR PAGO]] - tb_Auditoria[[#This Row],[VALOR ESPERADO]]</f>
        <v>#REF!</v>
      </c>
      <c r="N8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5" spans="1:15">
      <c r="A815" s="30">
        <v>1142614</v>
      </c>
      <c r="B815" s="25">
        <v>2</v>
      </c>
      <c r="C815" s="31">
        <v>0</v>
      </c>
      <c r="D815" s="32">
        <f>tb_Auditoria[[#This Row],[% TAXA RELATÓRIO]]*tb_Auditoria[[#This Row],[VALOR CRÉDITO]]</f>
        <v>0</v>
      </c>
      <c r="E815" s="13">
        <v>46174</v>
      </c>
      <c r="F815" s="13" t="s">
        <v>17</v>
      </c>
      <c r="G81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1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5" s="19">
        <f>IFERROR(INDEX([1]!tb_Vendas[Crédito],MATCH(tb_Auditoria[[#This Row],[Nº CONTRATO]],[1]!tb_Vendas[Nº Contrato],0)),0)</f>
        <v>300000</v>
      </c>
      <c r="K815" s="21">
        <f>IFERROR(tb_Auditoria[[#This Row],[VALOR ESPERADO]] / tb_Auditoria[[#This Row],[VALOR CRÉDITO]], 0)</f>
        <v>0</v>
      </c>
      <c r="L815" s="19" t="e">
        <f>SUMIFS([1]!Motor_Comissão[Valor Previsto],[1]!Motor_Comissão[Chave], tb_Auditoria[[#This Row],[Nº CONTRATO]]&amp;"-"&amp;tb_Auditoria[[#This Row],[PARCELA ATUAL]])</f>
        <v>#REF!</v>
      </c>
      <c r="M815" s="19" t="e">
        <f>tb_Auditoria[[#This Row],[VALOR PAGO]] - tb_Auditoria[[#This Row],[VALOR ESPERADO]]</f>
        <v>#REF!</v>
      </c>
      <c r="N8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6" spans="1:15">
      <c r="A816" s="9">
        <v>1142614</v>
      </c>
      <c r="B816" s="10">
        <v>3</v>
      </c>
      <c r="C816" s="31">
        <v>0</v>
      </c>
      <c r="D816" s="12">
        <f>tb_Auditoria[[#This Row],[% TAXA RELATÓRIO]]*tb_Auditoria[[#This Row],[VALOR CRÉDITO]]</f>
        <v>0</v>
      </c>
      <c r="E816" s="13">
        <v>46174</v>
      </c>
      <c r="F816" s="13" t="s">
        <v>17</v>
      </c>
      <c r="G81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1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6" s="19">
        <f>IFERROR(INDEX([1]!tb_Vendas[Crédito],MATCH(tb_Auditoria[[#This Row],[Nº CONTRATO]],[1]!tb_Vendas[Nº Contrato],0)),0)</f>
        <v>300000</v>
      </c>
      <c r="K816" s="21">
        <f>IFERROR(tb_Auditoria[[#This Row],[VALOR ESPERADO]] / tb_Auditoria[[#This Row],[VALOR CRÉDITO]], 0)</f>
        <v>0</v>
      </c>
      <c r="L816" s="19" t="e">
        <f>SUMIFS([1]!Motor_Comissão[Valor Previsto],[1]!Motor_Comissão[Chave], tb_Auditoria[[#This Row],[Nº CONTRATO]]&amp;"-"&amp;tb_Auditoria[[#This Row],[PARCELA ATUAL]])</f>
        <v>#REF!</v>
      </c>
      <c r="M816" s="19" t="e">
        <f>tb_Auditoria[[#This Row],[VALOR PAGO]] - tb_Auditoria[[#This Row],[VALOR ESPERADO]]</f>
        <v>#REF!</v>
      </c>
      <c r="N8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7" spans="1:15">
      <c r="A817" s="30">
        <v>1142614</v>
      </c>
      <c r="B817" s="25">
        <v>4</v>
      </c>
      <c r="C817" s="31">
        <v>0</v>
      </c>
      <c r="D817" s="32">
        <f>tb_Auditoria[[#This Row],[% TAXA RELATÓRIO]]*tb_Auditoria[[#This Row],[VALOR CRÉDITO]]</f>
        <v>0</v>
      </c>
      <c r="E817" s="13">
        <v>46174</v>
      </c>
      <c r="F817" s="13" t="s">
        <v>17</v>
      </c>
      <c r="G81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1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7" s="19">
        <f>IFERROR(INDEX([1]!tb_Vendas[Crédito],MATCH(tb_Auditoria[[#This Row],[Nº CONTRATO]],[1]!tb_Vendas[Nº Contrato],0)),0)</f>
        <v>300000</v>
      </c>
      <c r="K817" s="21">
        <f>IFERROR(tb_Auditoria[[#This Row],[VALOR ESPERADO]] / tb_Auditoria[[#This Row],[VALOR CRÉDITO]], 0)</f>
        <v>0</v>
      </c>
      <c r="L817" s="19" t="e">
        <f>SUMIFS([1]!Motor_Comissão[Valor Previsto],[1]!Motor_Comissão[Chave], tb_Auditoria[[#This Row],[Nº CONTRATO]]&amp;"-"&amp;tb_Auditoria[[#This Row],[PARCELA ATUAL]])</f>
        <v>#REF!</v>
      </c>
      <c r="M817" s="19" t="e">
        <f>tb_Auditoria[[#This Row],[VALOR PAGO]] - tb_Auditoria[[#This Row],[VALOR ESPERADO]]</f>
        <v>#REF!</v>
      </c>
      <c r="N8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8" spans="1:15">
      <c r="A818" s="9">
        <v>1142614</v>
      </c>
      <c r="B818" s="10">
        <v>5</v>
      </c>
      <c r="C818" s="31">
        <v>0</v>
      </c>
      <c r="D818" s="12">
        <f>tb_Auditoria[[#This Row],[% TAXA RELATÓRIO]]*tb_Auditoria[[#This Row],[VALOR CRÉDITO]]</f>
        <v>0</v>
      </c>
      <c r="E818" s="13">
        <v>46174</v>
      </c>
      <c r="F818" s="13" t="s">
        <v>17</v>
      </c>
      <c r="G81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1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8" s="19">
        <f>IFERROR(INDEX([1]!tb_Vendas[Crédito],MATCH(tb_Auditoria[[#This Row],[Nº CONTRATO]],[1]!tb_Vendas[Nº Contrato],0)),0)</f>
        <v>300000</v>
      </c>
      <c r="K818" s="21">
        <f>IFERROR(tb_Auditoria[[#This Row],[VALOR ESPERADO]] / tb_Auditoria[[#This Row],[VALOR CRÉDITO]], 0)</f>
        <v>0</v>
      </c>
      <c r="L818" s="19" t="e">
        <f>SUMIFS([1]!Motor_Comissão[Valor Previsto],[1]!Motor_Comissão[Chave], tb_Auditoria[[#This Row],[Nº CONTRATO]]&amp;"-"&amp;tb_Auditoria[[#This Row],[PARCELA ATUAL]])</f>
        <v>#REF!</v>
      </c>
      <c r="M818" s="19" t="e">
        <f>tb_Auditoria[[#This Row],[VALOR PAGO]] - tb_Auditoria[[#This Row],[VALOR ESPERADO]]</f>
        <v>#REF!</v>
      </c>
      <c r="N8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19" spans="1:15">
      <c r="A819" s="30">
        <v>1142614</v>
      </c>
      <c r="B819" s="25">
        <v>6</v>
      </c>
      <c r="C819" s="31">
        <v>0</v>
      </c>
      <c r="D819" s="32">
        <f>tb_Auditoria[[#This Row],[% TAXA RELATÓRIO]]*tb_Auditoria[[#This Row],[VALOR CRÉDITO]]</f>
        <v>0</v>
      </c>
      <c r="E819" s="13">
        <v>46174</v>
      </c>
      <c r="F819" s="13" t="s">
        <v>17</v>
      </c>
      <c r="G81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1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1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19" s="19">
        <f>IFERROR(INDEX([1]!tb_Vendas[Crédito],MATCH(tb_Auditoria[[#This Row],[Nº CONTRATO]],[1]!tb_Vendas[Nº Contrato],0)),0)</f>
        <v>300000</v>
      </c>
      <c r="K819" s="21">
        <f>IFERROR(tb_Auditoria[[#This Row],[VALOR ESPERADO]] / tb_Auditoria[[#This Row],[VALOR CRÉDITO]], 0)</f>
        <v>0</v>
      </c>
      <c r="L819" s="19" t="e">
        <f>SUMIFS([1]!Motor_Comissão[Valor Previsto],[1]!Motor_Comissão[Chave], tb_Auditoria[[#This Row],[Nº CONTRATO]]&amp;"-"&amp;tb_Auditoria[[#This Row],[PARCELA ATUAL]])</f>
        <v>#REF!</v>
      </c>
      <c r="M819" s="19" t="e">
        <f>tb_Auditoria[[#This Row],[VALOR PAGO]] - tb_Auditoria[[#This Row],[VALOR ESPERADO]]</f>
        <v>#REF!</v>
      </c>
      <c r="N8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0" spans="1:15">
      <c r="A820" s="9">
        <v>1142614</v>
      </c>
      <c r="B820" s="10">
        <v>7</v>
      </c>
      <c r="C820" s="31">
        <v>0</v>
      </c>
      <c r="D820" s="12">
        <f>tb_Auditoria[[#This Row],[% TAXA RELATÓRIO]]*tb_Auditoria[[#This Row],[VALOR CRÉDITO]]</f>
        <v>0</v>
      </c>
      <c r="E820" s="13">
        <v>46174</v>
      </c>
      <c r="F820" s="13" t="s">
        <v>17</v>
      </c>
      <c r="G82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2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0" s="19">
        <f>IFERROR(INDEX([1]!tb_Vendas[Crédito],MATCH(tb_Auditoria[[#This Row],[Nº CONTRATO]],[1]!tb_Vendas[Nº Contrato],0)),0)</f>
        <v>300000</v>
      </c>
      <c r="K820" s="21">
        <f>IFERROR(tb_Auditoria[[#This Row],[VALOR ESPERADO]] / tb_Auditoria[[#This Row],[VALOR CRÉDITO]], 0)</f>
        <v>0</v>
      </c>
      <c r="L820" s="19" t="e">
        <f>SUMIFS([1]!Motor_Comissão[Valor Previsto],[1]!Motor_Comissão[Chave], tb_Auditoria[[#This Row],[Nº CONTRATO]]&amp;"-"&amp;tb_Auditoria[[#This Row],[PARCELA ATUAL]])</f>
        <v>#REF!</v>
      </c>
      <c r="M820" s="19" t="e">
        <f>tb_Auditoria[[#This Row],[VALOR PAGO]] - tb_Auditoria[[#This Row],[VALOR ESPERADO]]</f>
        <v>#REF!</v>
      </c>
      <c r="N8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1" spans="1:15">
      <c r="A821" s="30">
        <v>1142614</v>
      </c>
      <c r="B821" s="25">
        <v>8</v>
      </c>
      <c r="C821" s="31">
        <v>0</v>
      </c>
      <c r="D821" s="32">
        <f>tb_Auditoria[[#This Row],[% TAXA RELATÓRIO]]*tb_Auditoria[[#This Row],[VALOR CRÉDITO]]</f>
        <v>0</v>
      </c>
      <c r="E821" s="13">
        <v>46174</v>
      </c>
      <c r="F821" s="13" t="s">
        <v>17</v>
      </c>
      <c r="G82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2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1" s="19">
        <f>IFERROR(INDEX([1]!tb_Vendas[Crédito],MATCH(tb_Auditoria[[#This Row],[Nº CONTRATO]],[1]!tb_Vendas[Nº Contrato],0)),0)</f>
        <v>300000</v>
      </c>
      <c r="K821" s="21">
        <f>IFERROR(tb_Auditoria[[#This Row],[VALOR ESPERADO]] / tb_Auditoria[[#This Row],[VALOR CRÉDITO]], 0)</f>
        <v>0</v>
      </c>
      <c r="L821" s="19" t="e">
        <f>SUMIFS([1]!Motor_Comissão[Valor Previsto],[1]!Motor_Comissão[Chave], tb_Auditoria[[#This Row],[Nº CONTRATO]]&amp;"-"&amp;tb_Auditoria[[#This Row],[PARCELA ATUAL]])</f>
        <v>#REF!</v>
      </c>
      <c r="M821" s="19" t="e">
        <f>tb_Auditoria[[#This Row],[VALOR PAGO]] - tb_Auditoria[[#This Row],[VALOR ESPERADO]]</f>
        <v>#REF!</v>
      </c>
      <c r="N8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2" spans="1:15">
      <c r="A822" s="9">
        <v>1142614</v>
      </c>
      <c r="B822" s="10">
        <v>9</v>
      </c>
      <c r="C822" s="31">
        <v>0</v>
      </c>
      <c r="D822" s="12">
        <f>tb_Auditoria[[#This Row],[% TAXA RELATÓRIO]]*tb_Auditoria[[#This Row],[VALOR CRÉDITO]]</f>
        <v>0</v>
      </c>
      <c r="E822" s="13">
        <v>46174</v>
      </c>
      <c r="F822" s="13" t="s">
        <v>17</v>
      </c>
      <c r="G82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2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2" s="19">
        <f>IFERROR(INDEX([1]!tb_Vendas[Crédito],MATCH(tb_Auditoria[[#This Row],[Nº CONTRATO]],[1]!tb_Vendas[Nº Contrato],0)),0)</f>
        <v>300000</v>
      </c>
      <c r="K822" s="21">
        <f>IFERROR(tb_Auditoria[[#This Row],[VALOR ESPERADO]] / tb_Auditoria[[#This Row],[VALOR CRÉDITO]], 0)</f>
        <v>0</v>
      </c>
      <c r="L822" s="19" t="e">
        <f>SUMIFS([1]!Motor_Comissão[Valor Previsto],[1]!Motor_Comissão[Chave], tb_Auditoria[[#This Row],[Nº CONTRATO]]&amp;"-"&amp;tb_Auditoria[[#This Row],[PARCELA ATUAL]])</f>
        <v>#REF!</v>
      </c>
      <c r="M822" s="19" t="e">
        <f>tb_Auditoria[[#This Row],[VALOR PAGO]] - tb_Auditoria[[#This Row],[VALOR ESPERADO]]</f>
        <v>#REF!</v>
      </c>
      <c r="N8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3" spans="1:15">
      <c r="A823" s="30">
        <v>1142614</v>
      </c>
      <c r="B823" s="25">
        <v>10</v>
      </c>
      <c r="C823" s="31">
        <v>0</v>
      </c>
      <c r="D823" s="32">
        <f>tb_Auditoria[[#This Row],[% TAXA RELATÓRIO]]*tb_Auditoria[[#This Row],[VALOR CRÉDITO]]</f>
        <v>0</v>
      </c>
      <c r="E823" s="13">
        <v>46174</v>
      </c>
      <c r="F823" s="13" t="s">
        <v>17</v>
      </c>
      <c r="G82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2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3" s="19">
        <f>IFERROR(INDEX([1]!tb_Vendas[Crédito],MATCH(tb_Auditoria[[#This Row],[Nº CONTRATO]],[1]!tb_Vendas[Nº Contrato],0)),0)</f>
        <v>300000</v>
      </c>
      <c r="K823" s="21">
        <f>IFERROR(tb_Auditoria[[#This Row],[VALOR ESPERADO]] / tb_Auditoria[[#This Row],[VALOR CRÉDITO]], 0)</f>
        <v>0</v>
      </c>
      <c r="L823" s="19" t="e">
        <f>SUMIFS([1]!Motor_Comissão[Valor Previsto],[1]!Motor_Comissão[Chave], tb_Auditoria[[#This Row],[Nº CONTRATO]]&amp;"-"&amp;tb_Auditoria[[#This Row],[PARCELA ATUAL]])</f>
        <v>#REF!</v>
      </c>
      <c r="M823" s="19" t="e">
        <f>tb_Auditoria[[#This Row],[VALOR PAGO]] - tb_Auditoria[[#This Row],[VALOR ESPERADO]]</f>
        <v>#REF!</v>
      </c>
      <c r="N8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4" spans="1:15">
      <c r="A824" s="30">
        <v>1142604</v>
      </c>
      <c r="B824" s="25">
        <v>1</v>
      </c>
      <c r="C824" s="31">
        <v>0</v>
      </c>
      <c r="D824" s="32">
        <f>tb_Auditoria[[#This Row],[% TAXA RELATÓRIO]]*tb_Auditoria[[#This Row],[VALOR CRÉDITO]]</f>
        <v>0</v>
      </c>
      <c r="E824" s="13">
        <v>46174</v>
      </c>
      <c r="F824" s="13" t="s">
        <v>17</v>
      </c>
      <c r="G82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2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4" s="19">
        <f>IFERROR(INDEX([1]!tb_Vendas[Crédito],MATCH(tb_Auditoria[[#This Row],[Nº CONTRATO]],[1]!tb_Vendas[Nº Contrato],0)),0)</f>
        <v>711575.38</v>
      </c>
      <c r="K824" s="21">
        <f>IFERROR(tb_Auditoria[[#This Row],[VALOR ESPERADO]] / tb_Auditoria[[#This Row],[VALOR CRÉDITO]], 0)</f>
        <v>0</v>
      </c>
      <c r="L824" s="19" t="e">
        <f>SUMIFS([1]!Motor_Comissão[Valor Previsto],[1]!Motor_Comissão[Chave], tb_Auditoria[[#This Row],[Nº CONTRATO]]&amp;"-"&amp;tb_Auditoria[[#This Row],[PARCELA ATUAL]])</f>
        <v>#REF!</v>
      </c>
      <c r="M824" s="19" t="e">
        <f>tb_Auditoria[[#This Row],[VALOR PAGO]] - tb_Auditoria[[#This Row],[VALOR ESPERADO]]</f>
        <v>#REF!</v>
      </c>
      <c r="N8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5" spans="1:15">
      <c r="A825" s="30">
        <v>1142604</v>
      </c>
      <c r="B825" s="25">
        <v>2</v>
      </c>
      <c r="C825" s="31">
        <v>0</v>
      </c>
      <c r="D825" s="32">
        <f>tb_Auditoria[[#This Row],[% TAXA RELATÓRIO]]*tb_Auditoria[[#This Row],[VALOR CRÉDITO]]</f>
        <v>0</v>
      </c>
      <c r="E825" s="13">
        <v>46174</v>
      </c>
      <c r="F825" s="13" t="s">
        <v>17</v>
      </c>
      <c r="G82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2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5" s="19">
        <f>IFERROR(INDEX([1]!tb_Vendas[Crédito],MATCH(tb_Auditoria[[#This Row],[Nº CONTRATO]],[1]!tb_Vendas[Nº Contrato],0)),0)</f>
        <v>711575.38</v>
      </c>
      <c r="K825" s="21">
        <f>IFERROR(tb_Auditoria[[#This Row],[VALOR ESPERADO]] / tb_Auditoria[[#This Row],[VALOR CRÉDITO]], 0)</f>
        <v>0</v>
      </c>
      <c r="L825" s="19" t="e">
        <f>SUMIFS([1]!Motor_Comissão[Valor Previsto],[1]!Motor_Comissão[Chave], tb_Auditoria[[#This Row],[Nº CONTRATO]]&amp;"-"&amp;tb_Auditoria[[#This Row],[PARCELA ATUAL]])</f>
        <v>#REF!</v>
      </c>
      <c r="M825" s="19" t="e">
        <f>tb_Auditoria[[#This Row],[VALOR PAGO]] - tb_Auditoria[[#This Row],[VALOR ESPERADO]]</f>
        <v>#REF!</v>
      </c>
      <c r="N8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6" spans="1:15">
      <c r="A826" s="30">
        <v>1142604</v>
      </c>
      <c r="B826" s="25">
        <v>3</v>
      </c>
      <c r="C826" s="31">
        <v>0</v>
      </c>
      <c r="D826" s="32">
        <f>tb_Auditoria[[#This Row],[% TAXA RELATÓRIO]]*tb_Auditoria[[#This Row],[VALOR CRÉDITO]]</f>
        <v>0</v>
      </c>
      <c r="E826" s="13">
        <v>46174</v>
      </c>
      <c r="F826" s="13" t="s">
        <v>17</v>
      </c>
      <c r="G82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2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6" s="19">
        <f>IFERROR(INDEX([1]!tb_Vendas[Crédito],MATCH(tb_Auditoria[[#This Row],[Nº CONTRATO]],[1]!tb_Vendas[Nº Contrato],0)),0)</f>
        <v>711575.38</v>
      </c>
      <c r="K826" s="21">
        <f>IFERROR(tb_Auditoria[[#This Row],[VALOR ESPERADO]] / tb_Auditoria[[#This Row],[VALOR CRÉDITO]], 0)</f>
        <v>0</v>
      </c>
      <c r="L826" s="19" t="e">
        <f>SUMIFS([1]!Motor_Comissão[Valor Previsto],[1]!Motor_Comissão[Chave], tb_Auditoria[[#This Row],[Nº CONTRATO]]&amp;"-"&amp;tb_Auditoria[[#This Row],[PARCELA ATUAL]])</f>
        <v>#REF!</v>
      </c>
      <c r="M826" s="19" t="e">
        <f>tb_Auditoria[[#This Row],[VALOR PAGO]] - tb_Auditoria[[#This Row],[VALOR ESPERADO]]</f>
        <v>#REF!</v>
      </c>
      <c r="N8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7" spans="1:15">
      <c r="A827" s="30">
        <v>1142604</v>
      </c>
      <c r="B827" s="25">
        <v>4</v>
      </c>
      <c r="C827" s="31">
        <v>0</v>
      </c>
      <c r="D827" s="32">
        <f>tb_Auditoria[[#This Row],[% TAXA RELATÓRIO]]*tb_Auditoria[[#This Row],[VALOR CRÉDITO]]</f>
        <v>0</v>
      </c>
      <c r="E827" s="13">
        <v>46174</v>
      </c>
      <c r="F827" s="13" t="s">
        <v>17</v>
      </c>
      <c r="G82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2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7" s="19">
        <f>IFERROR(INDEX([1]!tb_Vendas[Crédito],MATCH(tb_Auditoria[[#This Row],[Nº CONTRATO]],[1]!tb_Vendas[Nº Contrato],0)),0)</f>
        <v>711575.38</v>
      </c>
      <c r="K827" s="21">
        <f>IFERROR(tb_Auditoria[[#This Row],[VALOR ESPERADO]] / tb_Auditoria[[#This Row],[VALOR CRÉDITO]], 0)</f>
        <v>0</v>
      </c>
      <c r="L827" s="19" t="e">
        <f>SUMIFS([1]!Motor_Comissão[Valor Previsto],[1]!Motor_Comissão[Chave], tb_Auditoria[[#This Row],[Nº CONTRATO]]&amp;"-"&amp;tb_Auditoria[[#This Row],[PARCELA ATUAL]])</f>
        <v>#REF!</v>
      </c>
      <c r="M827" s="19" t="e">
        <f>tb_Auditoria[[#This Row],[VALOR PAGO]] - tb_Auditoria[[#This Row],[VALOR ESPERADO]]</f>
        <v>#REF!</v>
      </c>
      <c r="N8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8" spans="1:15">
      <c r="A828" s="30">
        <v>1142604</v>
      </c>
      <c r="B828" s="25">
        <v>5</v>
      </c>
      <c r="C828" s="31">
        <v>0</v>
      </c>
      <c r="D828" s="32">
        <f>tb_Auditoria[[#This Row],[% TAXA RELATÓRIO]]*tb_Auditoria[[#This Row],[VALOR CRÉDITO]]</f>
        <v>0</v>
      </c>
      <c r="E828" s="13">
        <v>46174</v>
      </c>
      <c r="F828" s="13" t="s">
        <v>17</v>
      </c>
      <c r="G82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2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8" s="19">
        <f>IFERROR(INDEX([1]!tb_Vendas[Crédito],MATCH(tb_Auditoria[[#This Row],[Nº CONTRATO]],[1]!tb_Vendas[Nº Contrato],0)),0)</f>
        <v>711575.38</v>
      </c>
      <c r="K828" s="21">
        <f>IFERROR(tb_Auditoria[[#This Row],[VALOR ESPERADO]] / tb_Auditoria[[#This Row],[VALOR CRÉDITO]], 0)</f>
        <v>0</v>
      </c>
      <c r="L828" s="19" t="e">
        <f>SUMIFS([1]!Motor_Comissão[Valor Previsto],[1]!Motor_Comissão[Chave], tb_Auditoria[[#This Row],[Nº CONTRATO]]&amp;"-"&amp;tb_Auditoria[[#This Row],[PARCELA ATUAL]])</f>
        <v>#REF!</v>
      </c>
      <c r="M828" s="19" t="e">
        <f>tb_Auditoria[[#This Row],[VALOR PAGO]] - tb_Auditoria[[#This Row],[VALOR ESPERADO]]</f>
        <v>#REF!</v>
      </c>
      <c r="N8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29" spans="1:15">
      <c r="A829" s="30">
        <v>1142604</v>
      </c>
      <c r="B829" s="25">
        <v>6</v>
      </c>
      <c r="C829" s="31">
        <v>0</v>
      </c>
      <c r="D829" s="32">
        <f>tb_Auditoria[[#This Row],[% TAXA RELATÓRIO]]*tb_Auditoria[[#This Row],[VALOR CRÉDITO]]</f>
        <v>0</v>
      </c>
      <c r="E829" s="13">
        <v>46174</v>
      </c>
      <c r="F829" s="13" t="s">
        <v>17</v>
      </c>
      <c r="G82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2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2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29" s="19">
        <f>IFERROR(INDEX([1]!tb_Vendas[Crédito],MATCH(tb_Auditoria[[#This Row],[Nº CONTRATO]],[1]!tb_Vendas[Nº Contrato],0)),0)</f>
        <v>711575.38</v>
      </c>
      <c r="K829" s="21">
        <f>IFERROR(tb_Auditoria[[#This Row],[VALOR ESPERADO]] / tb_Auditoria[[#This Row],[VALOR CRÉDITO]], 0)</f>
        <v>0</v>
      </c>
      <c r="L829" s="19" t="e">
        <f>SUMIFS([1]!Motor_Comissão[Valor Previsto],[1]!Motor_Comissão[Chave], tb_Auditoria[[#This Row],[Nº CONTRATO]]&amp;"-"&amp;tb_Auditoria[[#This Row],[PARCELA ATUAL]])</f>
        <v>#REF!</v>
      </c>
      <c r="M829" s="19" t="e">
        <f>tb_Auditoria[[#This Row],[VALOR PAGO]] - tb_Auditoria[[#This Row],[VALOR ESPERADO]]</f>
        <v>#REF!</v>
      </c>
      <c r="N8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0" spans="1:15">
      <c r="A830" s="30">
        <v>1142604</v>
      </c>
      <c r="B830" s="25">
        <v>7</v>
      </c>
      <c r="C830" s="31">
        <v>0</v>
      </c>
      <c r="D830" s="32">
        <f>tb_Auditoria[[#This Row],[% TAXA RELATÓRIO]]*tb_Auditoria[[#This Row],[VALOR CRÉDITO]]</f>
        <v>0</v>
      </c>
      <c r="E830" s="13">
        <v>46174</v>
      </c>
      <c r="F830" s="13" t="s">
        <v>17</v>
      </c>
      <c r="G83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3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0" s="19">
        <f>IFERROR(INDEX([1]!tb_Vendas[Crédito],MATCH(tb_Auditoria[[#This Row],[Nº CONTRATO]],[1]!tb_Vendas[Nº Contrato],0)),0)</f>
        <v>711575.38</v>
      </c>
      <c r="K830" s="21">
        <f>IFERROR(tb_Auditoria[[#This Row],[VALOR ESPERADO]] / tb_Auditoria[[#This Row],[VALOR CRÉDITO]], 0)</f>
        <v>0</v>
      </c>
      <c r="L830" s="19" t="e">
        <f>SUMIFS([1]!Motor_Comissão[Valor Previsto],[1]!Motor_Comissão[Chave], tb_Auditoria[[#This Row],[Nº CONTRATO]]&amp;"-"&amp;tb_Auditoria[[#This Row],[PARCELA ATUAL]])</f>
        <v>#REF!</v>
      </c>
      <c r="M830" s="19" t="e">
        <f>tb_Auditoria[[#This Row],[VALOR PAGO]] - tb_Auditoria[[#This Row],[VALOR ESPERADO]]</f>
        <v>#REF!</v>
      </c>
      <c r="N8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1" spans="1:15">
      <c r="A831" s="30">
        <v>1142604</v>
      </c>
      <c r="B831" s="25">
        <v>8</v>
      </c>
      <c r="C831" s="31">
        <v>0</v>
      </c>
      <c r="D831" s="32">
        <f>tb_Auditoria[[#This Row],[% TAXA RELATÓRIO]]*tb_Auditoria[[#This Row],[VALOR CRÉDITO]]</f>
        <v>0</v>
      </c>
      <c r="E831" s="13">
        <v>46174</v>
      </c>
      <c r="F831" s="13" t="s">
        <v>17</v>
      </c>
      <c r="G83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3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1" s="19">
        <f>IFERROR(INDEX([1]!tb_Vendas[Crédito],MATCH(tb_Auditoria[[#This Row],[Nº CONTRATO]],[1]!tb_Vendas[Nº Contrato],0)),0)</f>
        <v>711575.38</v>
      </c>
      <c r="K831" s="21">
        <f>IFERROR(tb_Auditoria[[#This Row],[VALOR ESPERADO]] / tb_Auditoria[[#This Row],[VALOR CRÉDITO]], 0)</f>
        <v>0</v>
      </c>
      <c r="L831" s="19" t="e">
        <f>SUMIFS([1]!Motor_Comissão[Valor Previsto],[1]!Motor_Comissão[Chave], tb_Auditoria[[#This Row],[Nº CONTRATO]]&amp;"-"&amp;tb_Auditoria[[#This Row],[PARCELA ATUAL]])</f>
        <v>#REF!</v>
      </c>
      <c r="M831" s="19" t="e">
        <f>tb_Auditoria[[#This Row],[VALOR PAGO]] - tb_Auditoria[[#This Row],[VALOR ESPERADO]]</f>
        <v>#REF!</v>
      </c>
      <c r="N8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2" spans="1:15">
      <c r="A832" s="30">
        <v>1142604</v>
      </c>
      <c r="B832" s="25">
        <v>9</v>
      </c>
      <c r="C832" s="31">
        <v>0</v>
      </c>
      <c r="D832" s="32">
        <f>tb_Auditoria[[#This Row],[% TAXA RELATÓRIO]]*tb_Auditoria[[#This Row],[VALOR CRÉDITO]]</f>
        <v>0</v>
      </c>
      <c r="E832" s="13">
        <v>46174</v>
      </c>
      <c r="F832" s="13" t="s">
        <v>17</v>
      </c>
      <c r="G83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3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2" s="19">
        <f>IFERROR(INDEX([1]!tb_Vendas[Crédito],MATCH(tb_Auditoria[[#This Row],[Nº CONTRATO]],[1]!tb_Vendas[Nº Contrato],0)),0)</f>
        <v>711575.38</v>
      </c>
      <c r="K832" s="21">
        <f>IFERROR(tb_Auditoria[[#This Row],[VALOR ESPERADO]] / tb_Auditoria[[#This Row],[VALOR CRÉDITO]], 0)</f>
        <v>0</v>
      </c>
      <c r="L832" s="19" t="e">
        <f>SUMIFS([1]!Motor_Comissão[Valor Previsto],[1]!Motor_Comissão[Chave], tb_Auditoria[[#This Row],[Nº CONTRATO]]&amp;"-"&amp;tb_Auditoria[[#This Row],[PARCELA ATUAL]])</f>
        <v>#REF!</v>
      </c>
      <c r="M832" s="19" t="e">
        <f>tb_Auditoria[[#This Row],[VALOR PAGO]] - tb_Auditoria[[#This Row],[VALOR ESPERADO]]</f>
        <v>#REF!</v>
      </c>
      <c r="N8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3" spans="1:15">
      <c r="A833" s="30">
        <v>1142604</v>
      </c>
      <c r="B833" s="25">
        <v>10</v>
      </c>
      <c r="C833" s="31">
        <v>0</v>
      </c>
      <c r="D833" s="32">
        <f>tb_Auditoria[[#This Row],[% TAXA RELATÓRIO]]*tb_Auditoria[[#This Row],[VALOR CRÉDITO]]</f>
        <v>0</v>
      </c>
      <c r="E833" s="13">
        <v>46174</v>
      </c>
      <c r="F833" s="13" t="s">
        <v>17</v>
      </c>
      <c r="G83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3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3" s="19">
        <f>IFERROR(INDEX([1]!tb_Vendas[Crédito],MATCH(tb_Auditoria[[#This Row],[Nº CONTRATO]],[1]!tb_Vendas[Nº Contrato],0)),0)</f>
        <v>711575.38</v>
      </c>
      <c r="K833" s="21">
        <f>IFERROR(tb_Auditoria[[#This Row],[VALOR ESPERADO]] / tb_Auditoria[[#This Row],[VALOR CRÉDITO]], 0)</f>
        <v>0</v>
      </c>
      <c r="L833" s="19" t="e">
        <f>SUMIFS([1]!Motor_Comissão[Valor Previsto],[1]!Motor_Comissão[Chave], tb_Auditoria[[#This Row],[Nº CONTRATO]]&amp;"-"&amp;tb_Auditoria[[#This Row],[PARCELA ATUAL]])</f>
        <v>#REF!</v>
      </c>
      <c r="M833" s="19" t="e">
        <f>tb_Auditoria[[#This Row],[VALOR PAGO]] - tb_Auditoria[[#This Row],[VALOR ESPERADO]]</f>
        <v>#REF!</v>
      </c>
      <c r="N8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4" spans="1:15">
      <c r="A834" s="9">
        <v>1142600</v>
      </c>
      <c r="B834" s="10">
        <v>2</v>
      </c>
      <c r="C834" s="28">
        <v>0</v>
      </c>
      <c r="D834" s="12">
        <f>tb_Auditoria[[#This Row],[% TAXA RELATÓRIO]]*tb_Auditoria[[#This Row],[VALOR CRÉDITO]]</f>
        <v>0</v>
      </c>
      <c r="E834" s="13">
        <v>46174</v>
      </c>
      <c r="F834" s="13" t="s">
        <v>17</v>
      </c>
      <c r="G83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3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4" s="19">
        <f>IFERROR(INDEX([1]!tb_Vendas[Crédito],MATCH(tb_Auditoria[[#This Row],[Nº CONTRATO]],[1]!tb_Vendas[Nº Contrato],0)),0)</f>
        <v>290412.46000000002</v>
      </c>
      <c r="K834" s="21">
        <f>IFERROR(tb_Auditoria[[#This Row],[VALOR ESPERADO]] / tb_Auditoria[[#This Row],[VALOR CRÉDITO]], 0)</f>
        <v>0</v>
      </c>
      <c r="L834" s="19" t="e">
        <f>SUMIFS([1]!Motor_Comissão[Valor Previsto],[1]!Motor_Comissão[Chave], tb_Auditoria[[#This Row],[Nº CONTRATO]]&amp;"-"&amp;tb_Auditoria[[#This Row],[PARCELA ATUAL]])</f>
        <v>#REF!</v>
      </c>
      <c r="M834" s="19" t="e">
        <f>tb_Auditoria[[#This Row],[VALOR PAGO]] - tb_Auditoria[[#This Row],[VALOR ESPERADO]]</f>
        <v>#REF!</v>
      </c>
      <c r="N8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5" spans="1:15">
      <c r="A835" s="30">
        <v>1142602</v>
      </c>
      <c r="B835" s="25">
        <v>2</v>
      </c>
      <c r="C835" s="31">
        <v>0</v>
      </c>
      <c r="D835" s="32">
        <f>tb_Auditoria[[#This Row],[% TAXA RELATÓRIO]]*tb_Auditoria[[#This Row],[VALOR CRÉDITO]]</f>
        <v>0</v>
      </c>
      <c r="E835" s="13">
        <v>46174</v>
      </c>
      <c r="F835" s="13" t="s">
        <v>17</v>
      </c>
      <c r="G83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3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5" s="19">
        <f>IFERROR(INDEX([1]!tb_Vendas[Crédito],MATCH(tb_Auditoria[[#This Row],[Nº CONTRATO]],[1]!tb_Vendas[Nº Contrato],0)),0)</f>
        <v>290024.53999999998</v>
      </c>
      <c r="K835" s="21">
        <f>IFERROR(tb_Auditoria[[#This Row],[VALOR ESPERADO]] / tb_Auditoria[[#This Row],[VALOR CRÉDITO]], 0)</f>
        <v>0</v>
      </c>
      <c r="L835" s="19" t="e">
        <f>SUMIFS([1]!Motor_Comissão[Valor Previsto],[1]!Motor_Comissão[Chave], tb_Auditoria[[#This Row],[Nº CONTRATO]]&amp;"-"&amp;tb_Auditoria[[#This Row],[PARCELA ATUAL]])</f>
        <v>#REF!</v>
      </c>
      <c r="M835" s="19" t="e">
        <f>tb_Auditoria[[#This Row],[VALOR PAGO]] - tb_Auditoria[[#This Row],[VALOR ESPERADO]]</f>
        <v>#REF!</v>
      </c>
      <c r="N8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6" spans="1:15">
      <c r="A836" s="30">
        <v>1142603</v>
      </c>
      <c r="B836" s="25">
        <v>2</v>
      </c>
      <c r="C836" s="31">
        <v>0</v>
      </c>
      <c r="D836" s="32">
        <f>tb_Auditoria[[#This Row],[% TAXA RELATÓRIO]]*tb_Auditoria[[#This Row],[VALOR CRÉDITO]]</f>
        <v>0</v>
      </c>
      <c r="E836" s="13">
        <v>46174</v>
      </c>
      <c r="F836" s="13" t="s">
        <v>17</v>
      </c>
      <c r="G83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3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6" s="19">
        <f>IFERROR(INDEX([1]!tb_Vendas[Crédito],MATCH(tb_Auditoria[[#This Row],[Nº CONTRATO]],[1]!tb_Vendas[Nº Contrato],0)),0)</f>
        <v>272334.03000000003</v>
      </c>
      <c r="K836" s="21">
        <f>IFERROR(tb_Auditoria[[#This Row],[VALOR ESPERADO]] / tb_Auditoria[[#This Row],[VALOR CRÉDITO]], 0)</f>
        <v>0</v>
      </c>
      <c r="L836" s="19" t="e">
        <f>SUMIFS([1]!Motor_Comissão[Valor Previsto],[1]!Motor_Comissão[Chave], tb_Auditoria[[#This Row],[Nº CONTRATO]]&amp;"-"&amp;tb_Auditoria[[#This Row],[PARCELA ATUAL]])</f>
        <v>#REF!</v>
      </c>
      <c r="M836" s="19" t="e">
        <f>tb_Auditoria[[#This Row],[VALOR PAGO]] - tb_Auditoria[[#This Row],[VALOR ESPERADO]]</f>
        <v>#REF!</v>
      </c>
      <c r="N8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7" spans="1:15">
      <c r="A837" s="30">
        <v>1142605</v>
      </c>
      <c r="B837" s="25">
        <v>2</v>
      </c>
      <c r="C837" s="31">
        <v>0</v>
      </c>
      <c r="D837" s="32">
        <f>tb_Auditoria[[#This Row],[% TAXA RELATÓRIO]]*tb_Auditoria[[#This Row],[VALOR CRÉDITO]]</f>
        <v>0</v>
      </c>
      <c r="E837" s="13">
        <v>46174</v>
      </c>
      <c r="F837" s="13" t="s">
        <v>17</v>
      </c>
      <c r="G83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3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7" s="19">
        <f>IFERROR(INDEX([1]!tb_Vendas[Crédito],MATCH(tb_Auditoria[[#This Row],[Nº CONTRATO]],[1]!tb_Vendas[Nº Contrato],0)),0)</f>
        <v>711575.38</v>
      </c>
      <c r="K837" s="21">
        <f>IFERROR(tb_Auditoria[[#This Row],[VALOR ESPERADO]] / tb_Auditoria[[#This Row],[VALOR CRÉDITO]], 0)</f>
        <v>0</v>
      </c>
      <c r="L837" s="19" t="e">
        <f>SUMIFS([1]!Motor_Comissão[Valor Previsto],[1]!Motor_Comissão[Chave], tb_Auditoria[[#This Row],[Nº CONTRATO]]&amp;"-"&amp;tb_Auditoria[[#This Row],[PARCELA ATUAL]])</f>
        <v>#REF!</v>
      </c>
      <c r="M837" s="19" t="e">
        <f>tb_Auditoria[[#This Row],[VALOR PAGO]] - tb_Auditoria[[#This Row],[VALOR ESPERADO]]</f>
        <v>#REF!</v>
      </c>
      <c r="N8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8" spans="1:15">
      <c r="A838" s="30">
        <v>1142606</v>
      </c>
      <c r="B838" s="25">
        <v>1</v>
      </c>
      <c r="C838" s="31">
        <v>0</v>
      </c>
      <c r="D838" s="32">
        <f>tb_Auditoria[[#This Row],[% TAXA RELATÓRIO]]*tb_Auditoria[[#This Row],[VALOR CRÉDITO]]</f>
        <v>0</v>
      </c>
      <c r="E838" s="13">
        <v>46174</v>
      </c>
      <c r="F838" s="13" t="s">
        <v>17</v>
      </c>
      <c r="G83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3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8" s="19">
        <f>IFERROR(INDEX([1]!tb_Vendas[Crédito],MATCH(tb_Auditoria[[#This Row],[Nº CONTRATO]],[1]!tb_Vendas[Nº Contrato],0)),0)</f>
        <v>446683.01</v>
      </c>
      <c r="K838" s="21">
        <f>IFERROR(tb_Auditoria[[#This Row],[VALOR ESPERADO]] / tb_Auditoria[[#This Row],[VALOR CRÉDITO]], 0)</f>
        <v>0</v>
      </c>
      <c r="L838" s="19" t="e">
        <f>SUMIFS([1]!Motor_Comissão[Valor Previsto],[1]!Motor_Comissão[Chave], tb_Auditoria[[#This Row],[Nº CONTRATO]]&amp;"-"&amp;tb_Auditoria[[#This Row],[PARCELA ATUAL]])</f>
        <v>#REF!</v>
      </c>
      <c r="M838" s="19" t="e">
        <f>tb_Auditoria[[#This Row],[VALOR PAGO]] - tb_Auditoria[[#This Row],[VALOR ESPERADO]]</f>
        <v>#REF!</v>
      </c>
      <c r="N8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39" spans="1:15">
      <c r="A839" s="30">
        <v>1142607</v>
      </c>
      <c r="B839" s="25">
        <v>2</v>
      </c>
      <c r="C839" s="31">
        <v>0</v>
      </c>
      <c r="D839" s="32">
        <f>tb_Auditoria[[#This Row],[% TAXA RELATÓRIO]]*tb_Auditoria[[#This Row],[VALOR CRÉDITO]]</f>
        <v>0</v>
      </c>
      <c r="E839" s="13">
        <v>46174</v>
      </c>
      <c r="F839" s="13" t="s">
        <v>17</v>
      </c>
      <c r="G83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3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3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39" s="19">
        <f>IFERROR(INDEX([1]!tb_Vendas[Crédito],MATCH(tb_Auditoria[[#This Row],[Nº CONTRATO]],[1]!tb_Vendas[Nº Contrato],0)),0)</f>
        <v>446683.01</v>
      </c>
      <c r="K839" s="21">
        <f>IFERROR(tb_Auditoria[[#This Row],[VALOR ESPERADO]] / tb_Auditoria[[#This Row],[VALOR CRÉDITO]], 0)</f>
        <v>0</v>
      </c>
      <c r="L839" s="19" t="e">
        <f>SUMIFS([1]!Motor_Comissão[Valor Previsto],[1]!Motor_Comissão[Chave], tb_Auditoria[[#This Row],[Nº CONTRATO]]&amp;"-"&amp;tb_Auditoria[[#This Row],[PARCELA ATUAL]])</f>
        <v>#REF!</v>
      </c>
      <c r="M839" s="19" t="e">
        <f>tb_Auditoria[[#This Row],[VALOR PAGO]] - tb_Auditoria[[#This Row],[VALOR ESPERADO]]</f>
        <v>#REF!</v>
      </c>
      <c r="N8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0" spans="1:15">
      <c r="A840" s="30">
        <v>1142608</v>
      </c>
      <c r="B840" s="25">
        <v>2</v>
      </c>
      <c r="C840" s="31">
        <v>0</v>
      </c>
      <c r="D840" s="32">
        <f>tb_Auditoria[[#This Row],[% TAXA RELATÓRIO]]*tb_Auditoria[[#This Row],[VALOR CRÉDITO]]</f>
        <v>0</v>
      </c>
      <c r="E840" s="13">
        <v>46174</v>
      </c>
      <c r="F840" s="13" t="s">
        <v>17</v>
      </c>
      <c r="G84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4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0" s="19">
        <f>IFERROR(INDEX([1]!tb_Vendas[Crédito],MATCH(tb_Auditoria[[#This Row],[Nº CONTRATO]],[1]!tb_Vendas[Nº Contrato],0)),0)</f>
        <v>400000</v>
      </c>
      <c r="K840" s="21">
        <f>IFERROR(tb_Auditoria[[#This Row],[VALOR ESPERADO]] / tb_Auditoria[[#This Row],[VALOR CRÉDITO]], 0)</f>
        <v>0</v>
      </c>
      <c r="L840" s="19" t="e">
        <f>SUMIFS([1]!Motor_Comissão[Valor Previsto],[1]!Motor_Comissão[Chave], tb_Auditoria[[#This Row],[Nº CONTRATO]]&amp;"-"&amp;tb_Auditoria[[#This Row],[PARCELA ATUAL]])</f>
        <v>#REF!</v>
      </c>
      <c r="M840" s="19" t="e">
        <f>tb_Auditoria[[#This Row],[VALOR PAGO]] - tb_Auditoria[[#This Row],[VALOR ESPERADO]]</f>
        <v>#REF!</v>
      </c>
      <c r="N8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1" spans="1:15">
      <c r="A841" s="30">
        <v>1142609</v>
      </c>
      <c r="B841" s="25">
        <v>2</v>
      </c>
      <c r="C841" s="31">
        <v>0</v>
      </c>
      <c r="D841" s="32">
        <f>tb_Auditoria[[#This Row],[% TAXA RELATÓRIO]]*tb_Auditoria[[#This Row],[VALOR CRÉDITO]]</f>
        <v>0</v>
      </c>
      <c r="E841" s="13">
        <v>46174</v>
      </c>
      <c r="F841" s="13" t="s">
        <v>17</v>
      </c>
      <c r="G84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4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1" s="19">
        <f>IFERROR(INDEX([1]!tb_Vendas[Crédito],MATCH(tb_Auditoria[[#This Row],[Nº CONTRATO]],[1]!tb_Vendas[Nº Contrato],0)),0)</f>
        <v>400000</v>
      </c>
      <c r="K841" s="21">
        <f>IFERROR(tb_Auditoria[[#This Row],[VALOR ESPERADO]] / tb_Auditoria[[#This Row],[VALOR CRÉDITO]], 0)</f>
        <v>0</v>
      </c>
      <c r="L841" s="19" t="e">
        <f>SUMIFS([1]!Motor_Comissão[Valor Previsto],[1]!Motor_Comissão[Chave], tb_Auditoria[[#This Row],[Nº CONTRATO]]&amp;"-"&amp;tb_Auditoria[[#This Row],[PARCELA ATUAL]])</f>
        <v>#REF!</v>
      </c>
      <c r="M841" s="19" t="e">
        <f>tb_Auditoria[[#This Row],[VALOR PAGO]] - tb_Auditoria[[#This Row],[VALOR ESPERADO]]</f>
        <v>#REF!</v>
      </c>
      <c r="N8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2" spans="1:15">
      <c r="A842" s="9">
        <v>1142611</v>
      </c>
      <c r="B842" s="10">
        <v>2</v>
      </c>
      <c r="C842" s="36">
        <v>4.9919999999999999E-3</v>
      </c>
      <c r="D842" s="12">
        <f>tb_Auditoria[[#This Row],[% TAXA RELATÓRIO]]*tb_Auditoria[[#This Row],[VALOR CRÉDITO]]</f>
        <v>1996.8</v>
      </c>
      <c r="E842" s="13">
        <v>46174</v>
      </c>
      <c r="F842" s="13" t="s">
        <v>17</v>
      </c>
      <c r="G84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4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2" s="19">
        <f>IFERROR(INDEX([1]!tb_Vendas[Crédito],MATCH(tb_Auditoria[[#This Row],[Nº CONTRATO]],[1]!tb_Vendas[Nº Contrato],0)),0)</f>
        <v>400000</v>
      </c>
      <c r="K842" s="21">
        <f>IFERROR(tb_Auditoria[[#This Row],[VALOR ESPERADO]] / tb_Auditoria[[#This Row],[VALOR CRÉDITO]], 0)</f>
        <v>0</v>
      </c>
      <c r="L842" s="19" t="e">
        <f>SUMIFS([1]!Motor_Comissão[Valor Previsto],[1]!Motor_Comissão[Chave], tb_Auditoria[[#This Row],[Nº CONTRATO]]&amp;"-"&amp;tb_Auditoria[[#This Row],[PARCELA ATUAL]])</f>
        <v>#REF!</v>
      </c>
      <c r="M842" s="19" t="e">
        <f>tb_Auditoria[[#This Row],[VALOR PAGO]] - tb_Auditoria[[#This Row],[VALOR ESPERADO]]</f>
        <v>#REF!</v>
      </c>
      <c r="N8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3" spans="1:15">
      <c r="A843" s="9">
        <v>1142600</v>
      </c>
      <c r="B843" s="10">
        <v>2</v>
      </c>
      <c r="C843" s="36">
        <v>4.4799999999999996E-3</v>
      </c>
      <c r="D843" s="12">
        <f>tb_Auditoria[[#This Row],[% TAXA RELATÓRIO]]*tb_Auditoria[[#This Row],[VALOR CRÉDITO]]</f>
        <v>1301.0478208</v>
      </c>
      <c r="E843" s="13">
        <v>46174</v>
      </c>
      <c r="F843" s="13" t="s">
        <v>17</v>
      </c>
      <c r="G84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4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3" s="19">
        <f>IFERROR(INDEX([1]!tb_Vendas[Crédito],MATCH(tb_Auditoria[[#This Row],[Nº CONTRATO]],[1]!tb_Vendas[Nº Contrato],0)),0)</f>
        <v>290412.46000000002</v>
      </c>
      <c r="K843" s="21">
        <f>IFERROR(tb_Auditoria[[#This Row],[VALOR ESPERADO]] / tb_Auditoria[[#This Row],[VALOR CRÉDITO]], 0)</f>
        <v>0</v>
      </c>
      <c r="L843" s="19" t="e">
        <f>SUMIFS([1]!Motor_Comissão[Valor Previsto],[1]!Motor_Comissão[Chave], tb_Auditoria[[#This Row],[Nº CONTRATO]]&amp;"-"&amp;tb_Auditoria[[#This Row],[PARCELA ATUAL]])</f>
        <v>#REF!</v>
      </c>
      <c r="M843" s="19" t="e">
        <f>tb_Auditoria[[#This Row],[VALOR PAGO]] - tb_Auditoria[[#This Row],[VALOR ESPERADO]]</f>
        <v>#REF!</v>
      </c>
      <c r="N8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4" spans="1:15">
      <c r="A844" s="9">
        <v>1142602</v>
      </c>
      <c r="B844" s="10">
        <v>2</v>
      </c>
      <c r="C844" s="36">
        <v>4.4799999999999996E-3</v>
      </c>
      <c r="D844" s="12">
        <f>tb_Auditoria[[#This Row],[% TAXA RELATÓRIO]]*tb_Auditoria[[#This Row],[VALOR CRÉDITO]]</f>
        <v>1299.3099391999997</v>
      </c>
      <c r="E844" s="13">
        <v>46174</v>
      </c>
      <c r="F844" s="13" t="s">
        <v>17</v>
      </c>
      <c r="G84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4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4" s="19">
        <f>IFERROR(INDEX([1]!tb_Vendas[Crédito],MATCH(tb_Auditoria[[#This Row],[Nº CONTRATO]],[1]!tb_Vendas[Nº Contrato],0)),0)</f>
        <v>290024.53999999998</v>
      </c>
      <c r="K844" s="21">
        <f>IFERROR(tb_Auditoria[[#This Row],[VALOR ESPERADO]] / tb_Auditoria[[#This Row],[VALOR CRÉDITO]], 0)</f>
        <v>0</v>
      </c>
      <c r="L844" s="19" t="e">
        <f>SUMIFS([1]!Motor_Comissão[Valor Previsto],[1]!Motor_Comissão[Chave], tb_Auditoria[[#This Row],[Nº CONTRATO]]&amp;"-"&amp;tb_Auditoria[[#This Row],[PARCELA ATUAL]])</f>
        <v>#REF!</v>
      </c>
      <c r="M844" s="19" t="e">
        <f>tb_Auditoria[[#This Row],[VALOR PAGO]] - tb_Auditoria[[#This Row],[VALOR ESPERADO]]</f>
        <v>#REF!</v>
      </c>
      <c r="N8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5" spans="1:15">
      <c r="A845" s="9">
        <v>1142603</v>
      </c>
      <c r="B845" s="10">
        <v>2</v>
      </c>
      <c r="C845" s="36">
        <v>4.6080000000000001E-3</v>
      </c>
      <c r="D845" s="12">
        <f>tb_Auditoria[[#This Row],[% TAXA RELATÓRIO]]*tb_Auditoria[[#This Row],[VALOR CRÉDITO]]</f>
        <v>1254.9152102400001</v>
      </c>
      <c r="E845" s="13">
        <v>46174</v>
      </c>
      <c r="F845" s="13" t="s">
        <v>17</v>
      </c>
      <c r="G84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4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5" s="19">
        <f>IFERROR(INDEX([1]!tb_Vendas[Crédito],MATCH(tb_Auditoria[[#This Row],[Nº CONTRATO]],[1]!tb_Vendas[Nº Contrato],0)),0)</f>
        <v>272334.03000000003</v>
      </c>
      <c r="K845" s="21">
        <f>IFERROR(tb_Auditoria[[#This Row],[VALOR ESPERADO]] / tb_Auditoria[[#This Row],[VALOR CRÉDITO]], 0)</f>
        <v>0</v>
      </c>
      <c r="L845" s="19" t="e">
        <f>SUMIFS([1]!Motor_Comissão[Valor Previsto],[1]!Motor_Comissão[Chave], tb_Auditoria[[#This Row],[Nº CONTRATO]]&amp;"-"&amp;tb_Auditoria[[#This Row],[PARCELA ATUAL]])</f>
        <v>#REF!</v>
      </c>
      <c r="M845" s="19" t="e">
        <f>tb_Auditoria[[#This Row],[VALOR PAGO]] - tb_Auditoria[[#This Row],[VALOR ESPERADO]]</f>
        <v>#REF!</v>
      </c>
      <c r="N8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6" spans="1:15">
      <c r="A846" s="9">
        <v>1142613</v>
      </c>
      <c r="B846" s="10">
        <v>2</v>
      </c>
      <c r="C846" s="36">
        <v>4.0959999999999998E-3</v>
      </c>
      <c r="D846" s="12">
        <f>tb_Auditoria[[#This Row],[% TAXA RELATÓRIO]]*tb_Auditoria[[#This Row],[VALOR CRÉDITO]]</f>
        <v>1228.8</v>
      </c>
      <c r="E846" s="13">
        <v>46174</v>
      </c>
      <c r="F846" s="13" t="s">
        <v>17</v>
      </c>
      <c r="G84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4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6" s="19">
        <f>IFERROR(INDEX([1]!tb_Vendas[Crédito],MATCH(tb_Auditoria[[#This Row],[Nº CONTRATO]],[1]!tb_Vendas[Nº Contrato],0)),0)</f>
        <v>300000</v>
      </c>
      <c r="K846" s="21">
        <f>IFERROR(tb_Auditoria[[#This Row],[VALOR ESPERADO]] / tb_Auditoria[[#This Row],[VALOR CRÉDITO]], 0)</f>
        <v>0</v>
      </c>
      <c r="L846" s="19" t="e">
        <f>SUMIFS([1]!Motor_Comissão[Valor Previsto],[1]!Motor_Comissão[Chave], tb_Auditoria[[#This Row],[Nº CONTRATO]]&amp;"-"&amp;tb_Auditoria[[#This Row],[PARCELA ATUAL]])</f>
        <v>#REF!</v>
      </c>
      <c r="M846" s="19" t="e">
        <f>tb_Auditoria[[#This Row],[VALOR PAGO]] - tb_Auditoria[[#This Row],[VALOR ESPERADO]]</f>
        <v>#REF!</v>
      </c>
      <c r="N8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7" spans="1:15">
      <c r="A847" s="9">
        <v>1142614</v>
      </c>
      <c r="B847" s="10">
        <v>2</v>
      </c>
      <c r="C847" s="36">
        <v>4.0959999999999998E-3</v>
      </c>
      <c r="D847" s="12">
        <f>tb_Auditoria[[#This Row],[% TAXA RELATÓRIO]]*tb_Auditoria[[#This Row],[VALOR CRÉDITO]]</f>
        <v>1228.8</v>
      </c>
      <c r="E847" s="13">
        <v>46174</v>
      </c>
      <c r="F847" s="13" t="s">
        <v>17</v>
      </c>
      <c r="G84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4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7" s="19">
        <f>IFERROR(INDEX([1]!tb_Vendas[Crédito],MATCH(tb_Auditoria[[#This Row],[Nº CONTRATO]],[1]!tb_Vendas[Nº Contrato],0)),0)</f>
        <v>300000</v>
      </c>
      <c r="K847" s="21">
        <f>IFERROR(tb_Auditoria[[#This Row],[VALOR ESPERADO]] / tb_Auditoria[[#This Row],[VALOR CRÉDITO]], 0)</f>
        <v>0</v>
      </c>
      <c r="L847" s="19" t="e">
        <f>SUMIFS([1]!Motor_Comissão[Valor Previsto],[1]!Motor_Comissão[Chave], tb_Auditoria[[#This Row],[Nº CONTRATO]]&amp;"-"&amp;tb_Auditoria[[#This Row],[PARCELA ATUAL]])</f>
        <v>#REF!</v>
      </c>
      <c r="M847" s="19" t="e">
        <f>tb_Auditoria[[#This Row],[VALOR PAGO]] - tb_Auditoria[[#This Row],[VALOR ESPERADO]]</f>
        <v>#REF!</v>
      </c>
      <c r="N8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8" spans="1:15">
      <c r="A848" s="9">
        <v>1142605</v>
      </c>
      <c r="B848" s="10">
        <v>2</v>
      </c>
      <c r="C848" s="36">
        <v>4.2240000000000003E-3</v>
      </c>
      <c r="D848" s="12">
        <f>tb_Auditoria[[#This Row],[% TAXA RELATÓRIO]]*tb_Auditoria[[#This Row],[VALOR CRÉDITO]]</f>
        <v>3005.6944051200003</v>
      </c>
      <c r="E848" s="13">
        <v>46174</v>
      </c>
      <c r="F848" s="13" t="s">
        <v>17</v>
      </c>
      <c r="G84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4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8" s="19">
        <f>IFERROR(INDEX([1]!tb_Vendas[Crédito],MATCH(tb_Auditoria[[#This Row],[Nº CONTRATO]],[1]!tb_Vendas[Nº Contrato],0)),0)</f>
        <v>711575.38</v>
      </c>
      <c r="K848" s="21">
        <f>IFERROR(tb_Auditoria[[#This Row],[VALOR ESPERADO]] / tb_Auditoria[[#This Row],[VALOR CRÉDITO]], 0)</f>
        <v>0</v>
      </c>
      <c r="L848" s="19" t="e">
        <f>SUMIFS([1]!Motor_Comissão[Valor Previsto],[1]!Motor_Comissão[Chave], tb_Auditoria[[#This Row],[Nº CONTRATO]]&amp;"-"&amp;tb_Auditoria[[#This Row],[PARCELA ATUAL]])</f>
        <v>#REF!</v>
      </c>
      <c r="M848" s="19" t="e">
        <f>tb_Auditoria[[#This Row],[VALOR PAGO]] - tb_Auditoria[[#This Row],[VALOR ESPERADO]]</f>
        <v>#REF!</v>
      </c>
      <c r="N8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49" spans="1:15">
      <c r="A849" s="9">
        <v>1142604</v>
      </c>
      <c r="B849" s="10">
        <v>2</v>
      </c>
      <c r="C849" s="36">
        <v>4.2240000000000003E-3</v>
      </c>
      <c r="D849" s="12">
        <f>tb_Auditoria[[#This Row],[% TAXA RELATÓRIO]]*tb_Auditoria[[#This Row],[VALOR CRÉDITO]]</f>
        <v>3005.6944051200003</v>
      </c>
      <c r="E849" s="13">
        <v>46174</v>
      </c>
      <c r="F849" s="13" t="s">
        <v>17</v>
      </c>
      <c r="G84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4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4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49" s="19">
        <f>IFERROR(INDEX([1]!tb_Vendas[Crédito],MATCH(tb_Auditoria[[#This Row],[Nº CONTRATO]],[1]!tb_Vendas[Nº Contrato],0)),0)</f>
        <v>711575.38</v>
      </c>
      <c r="K849" s="21">
        <f>IFERROR(tb_Auditoria[[#This Row],[VALOR ESPERADO]] / tb_Auditoria[[#This Row],[VALOR CRÉDITO]], 0)</f>
        <v>0</v>
      </c>
      <c r="L849" s="19" t="e">
        <f>SUMIFS([1]!Motor_Comissão[Valor Previsto],[1]!Motor_Comissão[Chave], tb_Auditoria[[#This Row],[Nº CONTRATO]]&amp;"-"&amp;tb_Auditoria[[#This Row],[PARCELA ATUAL]])</f>
        <v>#REF!</v>
      </c>
      <c r="M849" s="19" t="e">
        <f>tb_Auditoria[[#This Row],[VALOR PAGO]] - tb_Auditoria[[#This Row],[VALOR ESPERADO]]</f>
        <v>#REF!</v>
      </c>
      <c r="N8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0" spans="1:15">
      <c r="A850" s="9">
        <v>1142607</v>
      </c>
      <c r="B850" s="10">
        <v>2</v>
      </c>
      <c r="C850" s="36">
        <v>4.8640000000000003E-3</v>
      </c>
      <c r="D850" s="12">
        <f>tb_Auditoria[[#This Row],[% TAXA RELATÓRIO]]*tb_Auditoria[[#This Row],[VALOR CRÉDITO]]</f>
        <v>2172.6661606400003</v>
      </c>
      <c r="E850" s="13">
        <v>46174</v>
      </c>
      <c r="F850" s="13" t="s">
        <v>17</v>
      </c>
      <c r="G85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5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0" s="19">
        <f>IFERROR(INDEX([1]!tb_Vendas[Crédito],MATCH(tb_Auditoria[[#This Row],[Nº CONTRATO]],[1]!tb_Vendas[Nº Contrato],0)),0)</f>
        <v>446683.01</v>
      </c>
      <c r="K850" s="21">
        <f>IFERROR(tb_Auditoria[[#This Row],[VALOR ESPERADO]] / tb_Auditoria[[#This Row],[VALOR CRÉDITO]], 0)</f>
        <v>0</v>
      </c>
      <c r="L850" s="19" t="e">
        <f>SUMIFS([1]!Motor_Comissão[Valor Previsto],[1]!Motor_Comissão[Chave], tb_Auditoria[[#This Row],[Nº CONTRATO]]&amp;"-"&amp;tb_Auditoria[[#This Row],[PARCELA ATUAL]])</f>
        <v>#REF!</v>
      </c>
      <c r="M850" s="19" t="e">
        <f>tb_Auditoria[[#This Row],[VALOR PAGO]] - tb_Auditoria[[#This Row],[VALOR ESPERADO]]</f>
        <v>#REF!</v>
      </c>
      <c r="N8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1" spans="1:15">
      <c r="A851" s="9">
        <v>1142606</v>
      </c>
      <c r="B851" s="10">
        <v>2</v>
      </c>
      <c r="C851" s="36">
        <v>4.8640000000000003E-3</v>
      </c>
      <c r="D851" s="12">
        <f>tb_Auditoria[[#This Row],[% TAXA RELATÓRIO]]*tb_Auditoria[[#This Row],[VALOR CRÉDITO]]</f>
        <v>2172.6661606400003</v>
      </c>
      <c r="E851" s="13">
        <v>46174</v>
      </c>
      <c r="F851" s="13" t="s">
        <v>17</v>
      </c>
      <c r="G85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5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1" s="19">
        <f>IFERROR(INDEX([1]!tb_Vendas[Crédito],MATCH(tb_Auditoria[[#This Row],[Nº CONTRATO]],[1]!tb_Vendas[Nº Contrato],0)),0)</f>
        <v>446683.01</v>
      </c>
      <c r="K851" s="21">
        <f>IFERROR(tb_Auditoria[[#This Row],[VALOR ESPERADO]] / tb_Auditoria[[#This Row],[VALOR CRÉDITO]], 0)</f>
        <v>0</v>
      </c>
      <c r="L851" s="19" t="e">
        <f>SUMIFS([1]!Motor_Comissão[Valor Previsto],[1]!Motor_Comissão[Chave], tb_Auditoria[[#This Row],[Nº CONTRATO]]&amp;"-"&amp;tb_Auditoria[[#This Row],[PARCELA ATUAL]])</f>
        <v>#REF!</v>
      </c>
      <c r="M851" s="19" t="e">
        <f>tb_Auditoria[[#This Row],[VALOR PAGO]] - tb_Auditoria[[#This Row],[VALOR ESPERADO]]</f>
        <v>#REF!</v>
      </c>
      <c r="N8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2" spans="1:15">
      <c r="A852" s="9">
        <v>1142609</v>
      </c>
      <c r="B852" s="10">
        <v>2</v>
      </c>
      <c r="C852" s="36">
        <v>4.9919999999999999E-3</v>
      </c>
      <c r="D852" s="12">
        <f>tb_Auditoria[[#This Row],[% TAXA RELATÓRIO]]*tb_Auditoria[[#This Row],[VALOR CRÉDITO]]</f>
        <v>1996.8</v>
      </c>
      <c r="E852" s="13">
        <v>46174</v>
      </c>
      <c r="F852" s="13" t="s">
        <v>17</v>
      </c>
      <c r="G85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5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2" s="19">
        <f>IFERROR(INDEX([1]!tb_Vendas[Crédito],MATCH(tb_Auditoria[[#This Row],[Nº CONTRATO]],[1]!tb_Vendas[Nº Contrato],0)),0)</f>
        <v>400000</v>
      </c>
      <c r="K852" s="21">
        <f>IFERROR(tb_Auditoria[[#This Row],[VALOR ESPERADO]] / tb_Auditoria[[#This Row],[VALOR CRÉDITO]], 0)</f>
        <v>0</v>
      </c>
      <c r="L852" s="19" t="e">
        <f>SUMIFS([1]!Motor_Comissão[Valor Previsto],[1]!Motor_Comissão[Chave], tb_Auditoria[[#This Row],[Nº CONTRATO]]&amp;"-"&amp;tb_Auditoria[[#This Row],[PARCELA ATUAL]])</f>
        <v>#REF!</v>
      </c>
      <c r="M852" s="19" t="e">
        <f>tb_Auditoria[[#This Row],[VALOR PAGO]] - tb_Auditoria[[#This Row],[VALOR ESPERADO]]</f>
        <v>#REF!</v>
      </c>
      <c r="N8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3" spans="1:15">
      <c r="A853" s="9">
        <v>1142608</v>
      </c>
      <c r="B853" s="10">
        <v>2</v>
      </c>
      <c r="C853" s="36">
        <v>4.9919999999999999E-3</v>
      </c>
      <c r="D853" s="12">
        <f>tb_Auditoria[[#This Row],[% TAXA RELATÓRIO]]*tb_Auditoria[[#This Row],[VALOR CRÉDITO]]</f>
        <v>1996.8</v>
      </c>
      <c r="E853" s="13">
        <v>46174</v>
      </c>
      <c r="F853" s="13" t="s">
        <v>17</v>
      </c>
      <c r="G85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5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3" s="19">
        <f>IFERROR(INDEX([1]!tb_Vendas[Crédito],MATCH(tb_Auditoria[[#This Row],[Nº CONTRATO]],[1]!tb_Vendas[Nº Contrato],0)),0)</f>
        <v>400000</v>
      </c>
      <c r="K853" s="21">
        <f>IFERROR(tb_Auditoria[[#This Row],[VALOR ESPERADO]] / tb_Auditoria[[#This Row],[VALOR CRÉDITO]], 0)</f>
        <v>0</v>
      </c>
      <c r="L853" s="19" t="e">
        <f>SUMIFS([1]!Motor_Comissão[Valor Previsto],[1]!Motor_Comissão[Chave], tb_Auditoria[[#This Row],[Nº CONTRATO]]&amp;"-"&amp;tb_Auditoria[[#This Row],[PARCELA ATUAL]])</f>
        <v>#REF!</v>
      </c>
      <c r="M853" s="19" t="e">
        <f>tb_Auditoria[[#This Row],[VALOR PAGO]] - tb_Auditoria[[#This Row],[VALOR ESPERADO]]</f>
        <v>#REF!</v>
      </c>
      <c r="N8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4" spans="1:15">
      <c r="A854" s="9">
        <v>1142611</v>
      </c>
      <c r="B854" s="10">
        <v>2</v>
      </c>
      <c r="C854" s="36">
        <v>4.9919999999999999E-3</v>
      </c>
      <c r="D854" s="12">
        <f>tb_Auditoria[[#This Row],[% TAXA RELATÓRIO]]*tb_Auditoria[[#This Row],[VALOR CRÉDITO]]</f>
        <v>1996.8</v>
      </c>
      <c r="E854" s="13">
        <v>46174</v>
      </c>
      <c r="F854" s="13" t="s">
        <v>17</v>
      </c>
      <c r="G85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5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4" s="19">
        <f>IFERROR(INDEX([1]!tb_Vendas[Crédito],MATCH(tb_Auditoria[[#This Row],[Nº CONTRATO]],[1]!tb_Vendas[Nº Contrato],0)),0)</f>
        <v>400000</v>
      </c>
      <c r="K854" s="21">
        <f>IFERROR(tb_Auditoria[[#This Row],[VALOR ESPERADO]] / tb_Auditoria[[#This Row],[VALOR CRÉDITO]], 0)</f>
        <v>0</v>
      </c>
      <c r="L854" s="19" t="e">
        <f>SUMIFS([1]!Motor_Comissão[Valor Previsto],[1]!Motor_Comissão[Chave], tb_Auditoria[[#This Row],[Nº CONTRATO]]&amp;"-"&amp;tb_Auditoria[[#This Row],[PARCELA ATUAL]])</f>
        <v>#REF!</v>
      </c>
      <c r="M854" s="19" t="e">
        <f>tb_Auditoria[[#This Row],[VALOR PAGO]] - tb_Auditoria[[#This Row],[VALOR ESPERADO]]</f>
        <v>#REF!</v>
      </c>
      <c r="N8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5" spans="1:15">
      <c r="A855" s="9">
        <v>1142613</v>
      </c>
      <c r="B855" s="10">
        <v>3</v>
      </c>
      <c r="C855" s="36">
        <v>4.0959999999999998E-3</v>
      </c>
      <c r="D855" s="12">
        <f>tb_Auditoria[[#This Row],[% TAXA RELATÓRIO]]*tb_Auditoria[[#This Row],[VALOR CRÉDITO]]</f>
        <v>1228.8</v>
      </c>
      <c r="E855" s="13">
        <v>46174</v>
      </c>
      <c r="F855" s="13" t="s">
        <v>17</v>
      </c>
      <c r="G85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5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5" s="19">
        <f>IFERROR(INDEX([1]!tb_Vendas[Crédito],MATCH(tb_Auditoria[[#This Row],[Nº CONTRATO]],[1]!tb_Vendas[Nº Contrato],0)),0)</f>
        <v>300000</v>
      </c>
      <c r="K855" s="21">
        <f>IFERROR(tb_Auditoria[[#This Row],[VALOR ESPERADO]] / tb_Auditoria[[#This Row],[VALOR CRÉDITO]], 0)</f>
        <v>0</v>
      </c>
      <c r="L855" s="19" t="e">
        <f>SUMIFS([1]!Motor_Comissão[Valor Previsto],[1]!Motor_Comissão[Chave], tb_Auditoria[[#This Row],[Nº CONTRATO]]&amp;"-"&amp;tb_Auditoria[[#This Row],[PARCELA ATUAL]])</f>
        <v>#REF!</v>
      </c>
      <c r="M855" s="19" t="e">
        <f>tb_Auditoria[[#This Row],[VALOR PAGO]] - tb_Auditoria[[#This Row],[VALOR ESPERADO]]</f>
        <v>#REF!</v>
      </c>
      <c r="N8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6" spans="1:15">
      <c r="A856" s="9">
        <v>1142614</v>
      </c>
      <c r="B856" s="10">
        <v>3</v>
      </c>
      <c r="C856" s="36">
        <v>4.0959999999999998E-3</v>
      </c>
      <c r="D856" s="12">
        <f>tb_Auditoria[[#This Row],[% TAXA RELATÓRIO]]*tb_Auditoria[[#This Row],[VALOR CRÉDITO]]</f>
        <v>1228.8</v>
      </c>
      <c r="E856" s="13">
        <v>46174</v>
      </c>
      <c r="F856" s="13" t="s">
        <v>17</v>
      </c>
      <c r="G85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5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6" s="19">
        <f>IFERROR(INDEX([1]!tb_Vendas[Crédito],MATCH(tb_Auditoria[[#This Row],[Nº CONTRATO]],[1]!tb_Vendas[Nº Contrato],0)),0)</f>
        <v>300000</v>
      </c>
      <c r="K856" s="21">
        <f>IFERROR(tb_Auditoria[[#This Row],[VALOR ESPERADO]] / tb_Auditoria[[#This Row],[VALOR CRÉDITO]], 0)</f>
        <v>0</v>
      </c>
      <c r="L856" s="19" t="e">
        <f>SUMIFS([1]!Motor_Comissão[Valor Previsto],[1]!Motor_Comissão[Chave], tb_Auditoria[[#This Row],[Nº CONTRATO]]&amp;"-"&amp;tb_Auditoria[[#This Row],[PARCELA ATUAL]])</f>
        <v>#REF!</v>
      </c>
      <c r="M856" s="19" t="e">
        <f>tb_Auditoria[[#This Row],[VALOR PAGO]] - tb_Auditoria[[#This Row],[VALOR ESPERADO]]</f>
        <v>#REF!</v>
      </c>
      <c r="N8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7" spans="1:15">
      <c r="A857" s="9">
        <v>1142604</v>
      </c>
      <c r="B857" s="10">
        <v>3</v>
      </c>
      <c r="C857" s="36">
        <v>4.2240000000000003E-3</v>
      </c>
      <c r="D857" s="12">
        <f>tb_Auditoria[[#This Row],[% TAXA RELATÓRIO]]*tb_Auditoria[[#This Row],[VALOR CRÉDITO]]</f>
        <v>3005.6944051200003</v>
      </c>
      <c r="E857" s="13">
        <v>46174</v>
      </c>
      <c r="F857" s="13" t="s">
        <v>17</v>
      </c>
      <c r="G85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5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7" s="19">
        <f>IFERROR(INDEX([1]!tb_Vendas[Crédito],MATCH(tb_Auditoria[[#This Row],[Nº CONTRATO]],[1]!tb_Vendas[Nº Contrato],0)),0)</f>
        <v>711575.38</v>
      </c>
      <c r="K857" s="21">
        <f>IFERROR(tb_Auditoria[[#This Row],[VALOR ESPERADO]] / tb_Auditoria[[#This Row],[VALOR CRÉDITO]], 0)</f>
        <v>0</v>
      </c>
      <c r="L857" s="19" t="e">
        <f>SUMIFS([1]!Motor_Comissão[Valor Previsto],[1]!Motor_Comissão[Chave], tb_Auditoria[[#This Row],[Nº CONTRATO]]&amp;"-"&amp;tb_Auditoria[[#This Row],[PARCELA ATUAL]])</f>
        <v>#REF!</v>
      </c>
      <c r="M857" s="19" t="e">
        <f>tb_Auditoria[[#This Row],[VALOR PAGO]] - tb_Auditoria[[#This Row],[VALOR ESPERADO]]</f>
        <v>#REF!</v>
      </c>
      <c r="N8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8" spans="1:15">
      <c r="A858" s="9">
        <v>1142600</v>
      </c>
      <c r="B858" s="10">
        <v>4</v>
      </c>
      <c r="C858" s="36">
        <v>4.4799999999999996E-3</v>
      </c>
      <c r="D858" s="12">
        <f>tb_Auditoria[[#This Row],[% TAXA RELATÓRIO]]*tb_Auditoria[[#This Row],[VALOR CRÉDITO]]</f>
        <v>1301.0478208</v>
      </c>
      <c r="E858" s="13">
        <v>46174</v>
      </c>
      <c r="F858" s="13" t="s">
        <v>17</v>
      </c>
      <c r="G85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5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8" s="19">
        <f>IFERROR(INDEX([1]!tb_Vendas[Crédito],MATCH(tb_Auditoria[[#This Row],[Nº CONTRATO]],[1]!tb_Vendas[Nº Contrato],0)),0)</f>
        <v>290412.46000000002</v>
      </c>
      <c r="K858" s="21">
        <f>IFERROR(tb_Auditoria[[#This Row],[VALOR ESPERADO]] / tb_Auditoria[[#This Row],[VALOR CRÉDITO]], 0)</f>
        <v>0</v>
      </c>
      <c r="L858" s="19" t="e">
        <f>SUMIFS([1]!Motor_Comissão[Valor Previsto],[1]!Motor_Comissão[Chave], tb_Auditoria[[#This Row],[Nº CONTRATO]]&amp;"-"&amp;tb_Auditoria[[#This Row],[PARCELA ATUAL]])</f>
        <v>#REF!</v>
      </c>
      <c r="M858" s="19" t="e">
        <f>tb_Auditoria[[#This Row],[VALOR PAGO]] - tb_Auditoria[[#This Row],[VALOR ESPERADO]]</f>
        <v>#REF!</v>
      </c>
      <c r="N8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59" spans="1:15">
      <c r="A859" s="9">
        <v>1142602</v>
      </c>
      <c r="B859" s="10">
        <v>4</v>
      </c>
      <c r="C859" s="36">
        <v>4.4799999999999996E-3</v>
      </c>
      <c r="D859" s="12">
        <f>tb_Auditoria[[#This Row],[% TAXA RELATÓRIO]]*tb_Auditoria[[#This Row],[VALOR CRÉDITO]]</f>
        <v>1299.3099391999997</v>
      </c>
      <c r="E859" s="13">
        <v>46174</v>
      </c>
      <c r="F859" s="13" t="s">
        <v>17</v>
      </c>
      <c r="G85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5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5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59" s="19">
        <f>IFERROR(INDEX([1]!tb_Vendas[Crédito],MATCH(tb_Auditoria[[#This Row],[Nº CONTRATO]],[1]!tb_Vendas[Nº Contrato],0)),0)</f>
        <v>290024.53999999998</v>
      </c>
      <c r="K859" s="21">
        <f>IFERROR(tb_Auditoria[[#This Row],[VALOR ESPERADO]] / tb_Auditoria[[#This Row],[VALOR CRÉDITO]], 0)</f>
        <v>0</v>
      </c>
      <c r="L859" s="19" t="e">
        <f>SUMIFS([1]!Motor_Comissão[Valor Previsto],[1]!Motor_Comissão[Chave], tb_Auditoria[[#This Row],[Nº CONTRATO]]&amp;"-"&amp;tb_Auditoria[[#This Row],[PARCELA ATUAL]])</f>
        <v>#REF!</v>
      </c>
      <c r="M859" s="19" t="e">
        <f>tb_Auditoria[[#This Row],[VALOR PAGO]] - tb_Auditoria[[#This Row],[VALOR ESPERADO]]</f>
        <v>#REF!</v>
      </c>
      <c r="N8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0" spans="1:15">
      <c r="A860" s="9">
        <v>1142603</v>
      </c>
      <c r="B860" s="10">
        <v>4</v>
      </c>
      <c r="C860" s="36">
        <v>4.6080000000000001E-3</v>
      </c>
      <c r="D860" s="12">
        <f>tb_Auditoria[[#This Row],[% TAXA RELATÓRIO]]*tb_Auditoria[[#This Row],[VALOR CRÉDITO]]</f>
        <v>1254.9152102400001</v>
      </c>
      <c r="E860" s="13">
        <v>46174</v>
      </c>
      <c r="F860" s="13" t="s">
        <v>17</v>
      </c>
      <c r="G86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6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0" s="19">
        <f>IFERROR(INDEX([1]!tb_Vendas[Crédito],MATCH(tb_Auditoria[[#This Row],[Nº CONTRATO]],[1]!tb_Vendas[Nº Contrato],0)),0)</f>
        <v>272334.03000000003</v>
      </c>
      <c r="K860" s="21">
        <f>IFERROR(tb_Auditoria[[#This Row],[VALOR ESPERADO]] / tb_Auditoria[[#This Row],[VALOR CRÉDITO]], 0)</f>
        <v>0</v>
      </c>
      <c r="L860" s="19" t="e">
        <f>SUMIFS([1]!Motor_Comissão[Valor Previsto],[1]!Motor_Comissão[Chave], tb_Auditoria[[#This Row],[Nº CONTRATO]]&amp;"-"&amp;tb_Auditoria[[#This Row],[PARCELA ATUAL]])</f>
        <v>#REF!</v>
      </c>
      <c r="M860" s="19" t="e">
        <f>tb_Auditoria[[#This Row],[VALOR PAGO]] - tb_Auditoria[[#This Row],[VALOR ESPERADO]]</f>
        <v>#REF!</v>
      </c>
      <c r="N8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1" spans="1:15">
      <c r="A861" s="9">
        <v>1142613</v>
      </c>
      <c r="B861" s="10">
        <v>4</v>
      </c>
      <c r="C861" s="36">
        <v>4.0959999999999998E-3</v>
      </c>
      <c r="D861" s="12">
        <f>tb_Auditoria[[#This Row],[% TAXA RELATÓRIO]]*tb_Auditoria[[#This Row],[VALOR CRÉDITO]]</f>
        <v>1228.8</v>
      </c>
      <c r="E861" s="13">
        <v>46174</v>
      </c>
      <c r="F861" s="13" t="s">
        <v>17</v>
      </c>
      <c r="G86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6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1" s="19">
        <f>IFERROR(INDEX([1]!tb_Vendas[Crédito],MATCH(tb_Auditoria[[#This Row],[Nº CONTRATO]],[1]!tb_Vendas[Nº Contrato],0)),0)</f>
        <v>300000</v>
      </c>
      <c r="K861" s="21">
        <f>IFERROR(tb_Auditoria[[#This Row],[VALOR ESPERADO]] / tb_Auditoria[[#This Row],[VALOR CRÉDITO]], 0)</f>
        <v>0</v>
      </c>
      <c r="L861" s="19" t="e">
        <f>SUMIFS([1]!Motor_Comissão[Valor Previsto],[1]!Motor_Comissão[Chave], tb_Auditoria[[#This Row],[Nº CONTRATO]]&amp;"-"&amp;tb_Auditoria[[#This Row],[PARCELA ATUAL]])</f>
        <v>#REF!</v>
      </c>
      <c r="M861" s="19" t="e">
        <f>tb_Auditoria[[#This Row],[VALOR PAGO]] - tb_Auditoria[[#This Row],[VALOR ESPERADO]]</f>
        <v>#REF!</v>
      </c>
      <c r="N8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2" spans="1:15">
      <c r="A862" s="9">
        <v>1142614</v>
      </c>
      <c r="B862" s="10">
        <v>4</v>
      </c>
      <c r="C862" s="36">
        <v>4.0959999999999998E-3</v>
      </c>
      <c r="D862" s="12">
        <f>tb_Auditoria[[#This Row],[% TAXA RELATÓRIO]]*tb_Auditoria[[#This Row],[VALOR CRÉDITO]]</f>
        <v>1228.8</v>
      </c>
      <c r="E862" s="13">
        <v>46174</v>
      </c>
      <c r="F862" s="13" t="s">
        <v>17</v>
      </c>
      <c r="G86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6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2" s="19">
        <f>IFERROR(INDEX([1]!tb_Vendas[Crédito],MATCH(tb_Auditoria[[#This Row],[Nº CONTRATO]],[1]!tb_Vendas[Nº Contrato],0)),0)</f>
        <v>300000</v>
      </c>
      <c r="K862" s="21">
        <f>IFERROR(tb_Auditoria[[#This Row],[VALOR ESPERADO]] / tb_Auditoria[[#This Row],[VALOR CRÉDITO]], 0)</f>
        <v>0</v>
      </c>
      <c r="L862" s="19" t="e">
        <f>SUMIFS([1]!Motor_Comissão[Valor Previsto],[1]!Motor_Comissão[Chave], tb_Auditoria[[#This Row],[Nº CONTRATO]]&amp;"-"&amp;tb_Auditoria[[#This Row],[PARCELA ATUAL]])</f>
        <v>#REF!</v>
      </c>
      <c r="M862" s="19" t="e">
        <f>tb_Auditoria[[#This Row],[VALOR PAGO]] - tb_Auditoria[[#This Row],[VALOR ESPERADO]]</f>
        <v>#REF!</v>
      </c>
      <c r="N8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3" spans="1:15">
      <c r="A863" s="9">
        <v>1142605</v>
      </c>
      <c r="B863" s="10">
        <v>4</v>
      </c>
      <c r="C863" s="36">
        <v>4.2240000000000003E-3</v>
      </c>
      <c r="D863" s="12">
        <f>tb_Auditoria[[#This Row],[% TAXA RELATÓRIO]]*tb_Auditoria[[#This Row],[VALOR CRÉDITO]]</f>
        <v>3005.6944051200003</v>
      </c>
      <c r="E863" s="13">
        <v>46174</v>
      </c>
      <c r="F863" s="13" t="s">
        <v>17</v>
      </c>
      <c r="G86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6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3" s="19">
        <f>IFERROR(INDEX([1]!tb_Vendas[Crédito],MATCH(tb_Auditoria[[#This Row],[Nº CONTRATO]],[1]!tb_Vendas[Nº Contrato],0)),0)</f>
        <v>711575.38</v>
      </c>
      <c r="K863" s="21">
        <f>IFERROR(tb_Auditoria[[#This Row],[VALOR ESPERADO]] / tb_Auditoria[[#This Row],[VALOR CRÉDITO]], 0)</f>
        <v>0</v>
      </c>
      <c r="L863" s="19" t="e">
        <f>SUMIFS([1]!Motor_Comissão[Valor Previsto],[1]!Motor_Comissão[Chave], tb_Auditoria[[#This Row],[Nº CONTRATO]]&amp;"-"&amp;tb_Auditoria[[#This Row],[PARCELA ATUAL]])</f>
        <v>#REF!</v>
      </c>
      <c r="M863" s="19" t="e">
        <f>tb_Auditoria[[#This Row],[VALOR PAGO]] - tb_Auditoria[[#This Row],[VALOR ESPERADO]]</f>
        <v>#REF!</v>
      </c>
      <c r="N8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4" spans="1:15">
      <c r="A864" s="9">
        <v>1142604</v>
      </c>
      <c r="B864" s="10">
        <v>4</v>
      </c>
      <c r="C864" s="36">
        <v>4.2240000000000003E-3</v>
      </c>
      <c r="D864" s="12">
        <f>tb_Auditoria[[#This Row],[% TAXA RELATÓRIO]]*tb_Auditoria[[#This Row],[VALOR CRÉDITO]]</f>
        <v>3005.6944051200003</v>
      </c>
      <c r="E864" s="13">
        <v>46174</v>
      </c>
      <c r="F864" s="13" t="s">
        <v>17</v>
      </c>
      <c r="G86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6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4" s="19">
        <f>IFERROR(INDEX([1]!tb_Vendas[Crédito],MATCH(tb_Auditoria[[#This Row],[Nº CONTRATO]],[1]!tb_Vendas[Nº Contrato],0)),0)</f>
        <v>711575.38</v>
      </c>
      <c r="K864" s="21">
        <f>IFERROR(tb_Auditoria[[#This Row],[VALOR ESPERADO]] / tb_Auditoria[[#This Row],[VALOR CRÉDITO]], 0)</f>
        <v>0</v>
      </c>
      <c r="L864" s="19" t="e">
        <f>SUMIFS([1]!Motor_Comissão[Valor Previsto],[1]!Motor_Comissão[Chave], tb_Auditoria[[#This Row],[Nº CONTRATO]]&amp;"-"&amp;tb_Auditoria[[#This Row],[PARCELA ATUAL]])</f>
        <v>#REF!</v>
      </c>
      <c r="M864" s="19" t="e">
        <f>tb_Auditoria[[#This Row],[VALOR PAGO]] - tb_Auditoria[[#This Row],[VALOR ESPERADO]]</f>
        <v>#REF!</v>
      </c>
      <c r="N8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5" spans="1:15">
      <c r="A865" s="9">
        <v>1142607</v>
      </c>
      <c r="B865" s="10">
        <v>4</v>
      </c>
      <c r="C865" s="36">
        <v>4.8640000000000003E-3</v>
      </c>
      <c r="D865" s="12">
        <f>tb_Auditoria[[#This Row],[% TAXA RELATÓRIO]]*tb_Auditoria[[#This Row],[VALOR CRÉDITO]]</f>
        <v>2172.6661606400003</v>
      </c>
      <c r="E865" s="13">
        <v>46174</v>
      </c>
      <c r="F865" s="13" t="s">
        <v>17</v>
      </c>
      <c r="G86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6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5" s="19">
        <f>IFERROR(INDEX([1]!tb_Vendas[Crédito],MATCH(tb_Auditoria[[#This Row],[Nº CONTRATO]],[1]!tb_Vendas[Nº Contrato],0)),0)</f>
        <v>446683.01</v>
      </c>
      <c r="K865" s="21">
        <f>IFERROR(tb_Auditoria[[#This Row],[VALOR ESPERADO]] / tb_Auditoria[[#This Row],[VALOR CRÉDITO]], 0)</f>
        <v>0</v>
      </c>
      <c r="L865" s="19" t="e">
        <f>SUMIFS([1]!Motor_Comissão[Valor Previsto],[1]!Motor_Comissão[Chave], tb_Auditoria[[#This Row],[Nº CONTRATO]]&amp;"-"&amp;tb_Auditoria[[#This Row],[PARCELA ATUAL]])</f>
        <v>#REF!</v>
      </c>
      <c r="M865" s="19" t="e">
        <f>tb_Auditoria[[#This Row],[VALOR PAGO]] - tb_Auditoria[[#This Row],[VALOR ESPERADO]]</f>
        <v>#REF!</v>
      </c>
      <c r="N8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6" spans="1:15">
      <c r="A866" s="9">
        <v>1142606</v>
      </c>
      <c r="B866" s="10">
        <v>4</v>
      </c>
      <c r="C866" s="36">
        <v>4.8640000000000003E-3</v>
      </c>
      <c r="D866" s="12">
        <f>tb_Auditoria[[#This Row],[% TAXA RELATÓRIO]]*tb_Auditoria[[#This Row],[VALOR CRÉDITO]]</f>
        <v>2172.6661606400003</v>
      </c>
      <c r="E866" s="13">
        <v>46174</v>
      </c>
      <c r="F866" s="13" t="s">
        <v>17</v>
      </c>
      <c r="G86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6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6" s="19">
        <f>IFERROR(INDEX([1]!tb_Vendas[Crédito],MATCH(tb_Auditoria[[#This Row],[Nº CONTRATO]],[1]!tb_Vendas[Nº Contrato],0)),0)</f>
        <v>446683.01</v>
      </c>
      <c r="K866" s="21">
        <f>IFERROR(tb_Auditoria[[#This Row],[VALOR ESPERADO]] / tb_Auditoria[[#This Row],[VALOR CRÉDITO]], 0)</f>
        <v>0</v>
      </c>
      <c r="L866" s="19" t="e">
        <f>SUMIFS([1]!Motor_Comissão[Valor Previsto],[1]!Motor_Comissão[Chave], tb_Auditoria[[#This Row],[Nº CONTRATO]]&amp;"-"&amp;tb_Auditoria[[#This Row],[PARCELA ATUAL]])</f>
        <v>#REF!</v>
      </c>
      <c r="M866" s="19" t="e">
        <f>tb_Auditoria[[#This Row],[VALOR PAGO]] - tb_Auditoria[[#This Row],[VALOR ESPERADO]]</f>
        <v>#REF!</v>
      </c>
      <c r="N8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7" spans="1:15">
      <c r="A867" s="9">
        <v>1142609</v>
      </c>
      <c r="B867" s="10">
        <v>4</v>
      </c>
      <c r="C867" s="36">
        <v>4.9919999999999999E-3</v>
      </c>
      <c r="D867" s="12">
        <f>tb_Auditoria[[#This Row],[% TAXA RELATÓRIO]]*tb_Auditoria[[#This Row],[VALOR CRÉDITO]]</f>
        <v>1996.8</v>
      </c>
      <c r="E867" s="13">
        <v>46174</v>
      </c>
      <c r="F867" s="13" t="s">
        <v>17</v>
      </c>
      <c r="G86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6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7" s="19">
        <f>IFERROR(INDEX([1]!tb_Vendas[Crédito],MATCH(tb_Auditoria[[#This Row],[Nº CONTRATO]],[1]!tb_Vendas[Nº Contrato],0)),0)</f>
        <v>400000</v>
      </c>
      <c r="K867" s="21">
        <f>IFERROR(tb_Auditoria[[#This Row],[VALOR ESPERADO]] / tb_Auditoria[[#This Row],[VALOR CRÉDITO]], 0)</f>
        <v>0</v>
      </c>
      <c r="L867" s="19" t="e">
        <f>SUMIFS([1]!Motor_Comissão[Valor Previsto],[1]!Motor_Comissão[Chave], tb_Auditoria[[#This Row],[Nº CONTRATO]]&amp;"-"&amp;tb_Auditoria[[#This Row],[PARCELA ATUAL]])</f>
        <v>#REF!</v>
      </c>
      <c r="M867" s="19" t="e">
        <f>tb_Auditoria[[#This Row],[VALOR PAGO]] - tb_Auditoria[[#This Row],[VALOR ESPERADO]]</f>
        <v>#REF!</v>
      </c>
      <c r="N8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8" spans="1:15">
      <c r="A868" s="9">
        <v>1142608</v>
      </c>
      <c r="B868" s="10">
        <v>4</v>
      </c>
      <c r="C868" s="36">
        <v>4.9919999999999999E-3</v>
      </c>
      <c r="D868" s="12">
        <f>tb_Auditoria[[#This Row],[% TAXA RELATÓRIO]]*tb_Auditoria[[#This Row],[VALOR CRÉDITO]]</f>
        <v>1996.8</v>
      </c>
      <c r="E868" s="13">
        <v>46174</v>
      </c>
      <c r="F868" s="13" t="s">
        <v>17</v>
      </c>
      <c r="G86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6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8" s="19">
        <f>IFERROR(INDEX([1]!tb_Vendas[Crédito],MATCH(tb_Auditoria[[#This Row],[Nº CONTRATO]],[1]!tb_Vendas[Nº Contrato],0)),0)</f>
        <v>400000</v>
      </c>
      <c r="K868" s="21">
        <f>IFERROR(tb_Auditoria[[#This Row],[VALOR ESPERADO]] / tb_Auditoria[[#This Row],[VALOR CRÉDITO]], 0)</f>
        <v>0</v>
      </c>
      <c r="L868" s="19" t="e">
        <f>SUMIFS([1]!Motor_Comissão[Valor Previsto],[1]!Motor_Comissão[Chave], tb_Auditoria[[#This Row],[Nº CONTRATO]]&amp;"-"&amp;tb_Auditoria[[#This Row],[PARCELA ATUAL]])</f>
        <v>#REF!</v>
      </c>
      <c r="M868" s="19" t="e">
        <f>tb_Auditoria[[#This Row],[VALOR PAGO]] - tb_Auditoria[[#This Row],[VALOR ESPERADO]]</f>
        <v>#REF!</v>
      </c>
      <c r="N86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69" spans="1:15">
      <c r="A869" s="9">
        <v>1142611</v>
      </c>
      <c r="B869" s="10">
        <v>4</v>
      </c>
      <c r="C869" s="36">
        <v>4.9919999999999999E-3</v>
      </c>
      <c r="D869" s="12">
        <f>tb_Auditoria[[#This Row],[% TAXA RELATÓRIO]]*tb_Auditoria[[#This Row],[VALOR CRÉDITO]]</f>
        <v>1996.8</v>
      </c>
      <c r="E869" s="13">
        <v>46174</v>
      </c>
      <c r="F869" s="13" t="s">
        <v>17</v>
      </c>
      <c r="G86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6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6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69" s="19">
        <f>IFERROR(INDEX([1]!tb_Vendas[Crédito],MATCH(tb_Auditoria[[#This Row],[Nº CONTRATO]],[1]!tb_Vendas[Nº Contrato],0)),0)</f>
        <v>400000</v>
      </c>
      <c r="K869" s="21">
        <f>IFERROR(tb_Auditoria[[#This Row],[VALOR ESPERADO]] / tb_Auditoria[[#This Row],[VALOR CRÉDITO]], 0)</f>
        <v>0</v>
      </c>
      <c r="L869" s="19" t="e">
        <f>SUMIFS([1]!Motor_Comissão[Valor Previsto],[1]!Motor_Comissão[Chave], tb_Auditoria[[#This Row],[Nº CONTRATO]]&amp;"-"&amp;tb_Auditoria[[#This Row],[PARCELA ATUAL]])</f>
        <v>#REF!</v>
      </c>
      <c r="M869" s="19" t="e">
        <f>tb_Auditoria[[#This Row],[VALOR PAGO]] - tb_Auditoria[[#This Row],[VALOR ESPERADO]]</f>
        <v>#REF!</v>
      </c>
      <c r="N8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0" spans="1:15">
      <c r="A870" s="9">
        <v>1142600</v>
      </c>
      <c r="B870" s="10">
        <v>5</v>
      </c>
      <c r="C870" s="36">
        <v>4.4799999999999996E-3</v>
      </c>
      <c r="D870" s="12">
        <f>tb_Auditoria[[#This Row],[% TAXA RELATÓRIO]]*tb_Auditoria[[#This Row],[VALOR CRÉDITO]]</f>
        <v>1301.0478208</v>
      </c>
      <c r="E870" s="13">
        <v>46174</v>
      </c>
      <c r="F870" s="13" t="s">
        <v>17</v>
      </c>
      <c r="G87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7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0" s="19">
        <f>IFERROR(INDEX([1]!tb_Vendas[Crédito],MATCH(tb_Auditoria[[#This Row],[Nº CONTRATO]],[1]!tb_Vendas[Nº Contrato],0)),0)</f>
        <v>290412.46000000002</v>
      </c>
      <c r="K870" s="21">
        <f>IFERROR(tb_Auditoria[[#This Row],[VALOR ESPERADO]] / tb_Auditoria[[#This Row],[VALOR CRÉDITO]], 0)</f>
        <v>0</v>
      </c>
      <c r="L870" s="19" t="e">
        <f>SUMIFS([1]!Motor_Comissão[Valor Previsto],[1]!Motor_Comissão[Chave], tb_Auditoria[[#This Row],[Nº CONTRATO]]&amp;"-"&amp;tb_Auditoria[[#This Row],[PARCELA ATUAL]])</f>
        <v>#REF!</v>
      </c>
      <c r="M870" s="19" t="e">
        <f>tb_Auditoria[[#This Row],[VALOR PAGO]] - tb_Auditoria[[#This Row],[VALOR ESPERADO]]</f>
        <v>#REF!</v>
      </c>
      <c r="N8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1" spans="1:15">
      <c r="A871" s="9">
        <v>1142603</v>
      </c>
      <c r="B871" s="10">
        <v>5</v>
      </c>
      <c r="C871" s="36">
        <v>4.6080000000000001E-3</v>
      </c>
      <c r="D871" s="12">
        <f>tb_Auditoria[[#This Row],[% TAXA RELATÓRIO]]*tb_Auditoria[[#This Row],[VALOR CRÉDITO]]</f>
        <v>1254.9152102400001</v>
      </c>
      <c r="E871" s="13">
        <v>46174</v>
      </c>
      <c r="F871" s="13" t="s">
        <v>17</v>
      </c>
      <c r="G87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7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1" s="19">
        <f>IFERROR(INDEX([1]!tb_Vendas[Crédito],MATCH(tb_Auditoria[[#This Row],[Nº CONTRATO]],[1]!tb_Vendas[Nº Contrato],0)),0)</f>
        <v>272334.03000000003</v>
      </c>
      <c r="K871" s="21">
        <f>IFERROR(tb_Auditoria[[#This Row],[VALOR ESPERADO]] / tb_Auditoria[[#This Row],[VALOR CRÉDITO]], 0)</f>
        <v>0</v>
      </c>
      <c r="L871" s="19" t="e">
        <f>SUMIFS([1]!Motor_Comissão[Valor Previsto],[1]!Motor_Comissão[Chave], tb_Auditoria[[#This Row],[Nº CONTRATO]]&amp;"-"&amp;tb_Auditoria[[#This Row],[PARCELA ATUAL]])</f>
        <v>#REF!</v>
      </c>
      <c r="M871" s="19" t="e">
        <f>tb_Auditoria[[#This Row],[VALOR PAGO]] - tb_Auditoria[[#This Row],[VALOR ESPERADO]]</f>
        <v>#REF!</v>
      </c>
      <c r="N8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2" spans="1:15">
      <c r="A872" s="9">
        <v>1142613</v>
      </c>
      <c r="B872" s="10">
        <v>5</v>
      </c>
      <c r="C872" s="36">
        <v>4.0959999999999998E-3</v>
      </c>
      <c r="D872" s="12">
        <f>tb_Auditoria[[#This Row],[% TAXA RELATÓRIO]]*tb_Auditoria[[#This Row],[VALOR CRÉDITO]]</f>
        <v>1228.8</v>
      </c>
      <c r="E872" s="13">
        <v>46174</v>
      </c>
      <c r="F872" s="13" t="s">
        <v>17</v>
      </c>
      <c r="G87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7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2" s="19">
        <f>IFERROR(INDEX([1]!tb_Vendas[Crédito],MATCH(tb_Auditoria[[#This Row],[Nº CONTRATO]],[1]!tb_Vendas[Nº Contrato],0)),0)</f>
        <v>300000</v>
      </c>
      <c r="K872" s="21">
        <f>IFERROR(tb_Auditoria[[#This Row],[VALOR ESPERADO]] / tb_Auditoria[[#This Row],[VALOR CRÉDITO]], 0)</f>
        <v>0</v>
      </c>
      <c r="L872" s="19" t="e">
        <f>SUMIFS([1]!Motor_Comissão[Valor Previsto],[1]!Motor_Comissão[Chave], tb_Auditoria[[#This Row],[Nº CONTRATO]]&amp;"-"&amp;tb_Auditoria[[#This Row],[PARCELA ATUAL]])</f>
        <v>#REF!</v>
      </c>
      <c r="M872" s="19" t="e">
        <f>tb_Auditoria[[#This Row],[VALOR PAGO]] - tb_Auditoria[[#This Row],[VALOR ESPERADO]]</f>
        <v>#REF!</v>
      </c>
      <c r="N8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3" spans="1:15">
      <c r="A873" s="9">
        <v>1142614</v>
      </c>
      <c r="B873" s="10">
        <v>5</v>
      </c>
      <c r="C873" s="36">
        <v>4.0959999999999998E-3</v>
      </c>
      <c r="D873" s="12">
        <f>tb_Auditoria[[#This Row],[% TAXA RELATÓRIO]]*tb_Auditoria[[#This Row],[VALOR CRÉDITO]]</f>
        <v>1228.8</v>
      </c>
      <c r="E873" s="13">
        <v>46174</v>
      </c>
      <c r="F873" s="13" t="s">
        <v>17</v>
      </c>
      <c r="G87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7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3" s="19">
        <f>IFERROR(INDEX([1]!tb_Vendas[Crédito],MATCH(tb_Auditoria[[#This Row],[Nº CONTRATO]],[1]!tb_Vendas[Nº Contrato],0)),0)</f>
        <v>300000</v>
      </c>
      <c r="K873" s="21">
        <f>IFERROR(tb_Auditoria[[#This Row],[VALOR ESPERADO]] / tb_Auditoria[[#This Row],[VALOR CRÉDITO]], 0)</f>
        <v>0</v>
      </c>
      <c r="L873" s="19" t="e">
        <f>SUMIFS([1]!Motor_Comissão[Valor Previsto],[1]!Motor_Comissão[Chave], tb_Auditoria[[#This Row],[Nº CONTRATO]]&amp;"-"&amp;tb_Auditoria[[#This Row],[PARCELA ATUAL]])</f>
        <v>#REF!</v>
      </c>
      <c r="M873" s="19" t="e">
        <f>tb_Auditoria[[#This Row],[VALOR PAGO]] - tb_Auditoria[[#This Row],[VALOR ESPERADO]]</f>
        <v>#REF!</v>
      </c>
      <c r="N8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4" spans="1:15">
      <c r="A874" s="9">
        <v>1142605</v>
      </c>
      <c r="B874" s="10">
        <v>5</v>
      </c>
      <c r="C874" s="36">
        <v>4.2240000000000003E-3</v>
      </c>
      <c r="D874" s="12">
        <f>tb_Auditoria[[#This Row],[% TAXA RELATÓRIO]]*tb_Auditoria[[#This Row],[VALOR CRÉDITO]]</f>
        <v>3005.6944051200003</v>
      </c>
      <c r="E874" s="13">
        <v>46174</v>
      </c>
      <c r="F874" s="13" t="s">
        <v>17</v>
      </c>
      <c r="G87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7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4" s="19">
        <f>IFERROR(INDEX([1]!tb_Vendas[Crédito],MATCH(tb_Auditoria[[#This Row],[Nº CONTRATO]],[1]!tb_Vendas[Nº Contrato],0)),0)</f>
        <v>711575.38</v>
      </c>
      <c r="K874" s="21">
        <f>IFERROR(tb_Auditoria[[#This Row],[VALOR ESPERADO]] / tb_Auditoria[[#This Row],[VALOR CRÉDITO]], 0)</f>
        <v>0</v>
      </c>
      <c r="L874" s="19" t="e">
        <f>SUMIFS([1]!Motor_Comissão[Valor Previsto],[1]!Motor_Comissão[Chave], tb_Auditoria[[#This Row],[Nº CONTRATO]]&amp;"-"&amp;tb_Auditoria[[#This Row],[PARCELA ATUAL]])</f>
        <v>#REF!</v>
      </c>
      <c r="M874" s="19" t="e">
        <f>tb_Auditoria[[#This Row],[VALOR PAGO]] - tb_Auditoria[[#This Row],[VALOR ESPERADO]]</f>
        <v>#REF!</v>
      </c>
      <c r="N8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5" spans="1:15">
      <c r="A875" s="9">
        <v>1142604</v>
      </c>
      <c r="B875" s="10">
        <v>5</v>
      </c>
      <c r="C875" s="36">
        <v>4.2240000000000003E-3</v>
      </c>
      <c r="D875" s="12">
        <f>tb_Auditoria[[#This Row],[% TAXA RELATÓRIO]]*tb_Auditoria[[#This Row],[VALOR CRÉDITO]]</f>
        <v>3005.6944051200003</v>
      </c>
      <c r="E875" s="13">
        <v>46174</v>
      </c>
      <c r="F875" s="13" t="s">
        <v>17</v>
      </c>
      <c r="G87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7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5" s="19">
        <f>IFERROR(INDEX([1]!tb_Vendas[Crédito],MATCH(tb_Auditoria[[#This Row],[Nº CONTRATO]],[1]!tb_Vendas[Nº Contrato],0)),0)</f>
        <v>711575.38</v>
      </c>
      <c r="K875" s="21">
        <f>IFERROR(tb_Auditoria[[#This Row],[VALOR ESPERADO]] / tb_Auditoria[[#This Row],[VALOR CRÉDITO]], 0)</f>
        <v>0</v>
      </c>
      <c r="L875" s="19" t="e">
        <f>SUMIFS([1]!Motor_Comissão[Valor Previsto],[1]!Motor_Comissão[Chave], tb_Auditoria[[#This Row],[Nº CONTRATO]]&amp;"-"&amp;tb_Auditoria[[#This Row],[PARCELA ATUAL]])</f>
        <v>#REF!</v>
      </c>
      <c r="M875" s="19" t="e">
        <f>tb_Auditoria[[#This Row],[VALOR PAGO]] - tb_Auditoria[[#This Row],[VALOR ESPERADO]]</f>
        <v>#REF!</v>
      </c>
      <c r="N8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6" spans="1:15">
      <c r="A876" s="9">
        <v>1142607</v>
      </c>
      <c r="B876" s="10">
        <v>5</v>
      </c>
      <c r="C876" s="36">
        <v>4.8640000000000003E-3</v>
      </c>
      <c r="D876" s="12">
        <f>tb_Auditoria[[#This Row],[% TAXA RELATÓRIO]]*tb_Auditoria[[#This Row],[VALOR CRÉDITO]]</f>
        <v>2172.6661606400003</v>
      </c>
      <c r="E876" s="13">
        <v>46174</v>
      </c>
      <c r="F876" s="13" t="s">
        <v>17</v>
      </c>
      <c r="G87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7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6" s="19">
        <f>IFERROR(INDEX([1]!tb_Vendas[Crédito],MATCH(tb_Auditoria[[#This Row],[Nº CONTRATO]],[1]!tb_Vendas[Nº Contrato],0)),0)</f>
        <v>446683.01</v>
      </c>
      <c r="K876" s="21">
        <f>IFERROR(tb_Auditoria[[#This Row],[VALOR ESPERADO]] / tb_Auditoria[[#This Row],[VALOR CRÉDITO]], 0)</f>
        <v>0</v>
      </c>
      <c r="L876" s="19" t="e">
        <f>SUMIFS([1]!Motor_Comissão[Valor Previsto],[1]!Motor_Comissão[Chave], tb_Auditoria[[#This Row],[Nº CONTRATO]]&amp;"-"&amp;tb_Auditoria[[#This Row],[PARCELA ATUAL]])</f>
        <v>#REF!</v>
      </c>
      <c r="M876" s="19" t="e">
        <f>tb_Auditoria[[#This Row],[VALOR PAGO]] - tb_Auditoria[[#This Row],[VALOR ESPERADO]]</f>
        <v>#REF!</v>
      </c>
      <c r="N8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7" spans="1:15">
      <c r="A877" s="9">
        <v>1142606</v>
      </c>
      <c r="B877" s="10">
        <v>5</v>
      </c>
      <c r="C877" s="36">
        <v>4.8640000000000003E-3</v>
      </c>
      <c r="D877" s="12">
        <f>tb_Auditoria[[#This Row],[% TAXA RELATÓRIO]]*tb_Auditoria[[#This Row],[VALOR CRÉDITO]]</f>
        <v>2172.6661606400003</v>
      </c>
      <c r="E877" s="13">
        <v>46174</v>
      </c>
      <c r="F877" s="13" t="s">
        <v>17</v>
      </c>
      <c r="G87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7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7" s="19">
        <f>IFERROR(INDEX([1]!tb_Vendas[Crédito],MATCH(tb_Auditoria[[#This Row],[Nº CONTRATO]],[1]!tb_Vendas[Nº Contrato],0)),0)</f>
        <v>446683.01</v>
      </c>
      <c r="K877" s="21">
        <f>IFERROR(tb_Auditoria[[#This Row],[VALOR ESPERADO]] / tb_Auditoria[[#This Row],[VALOR CRÉDITO]], 0)</f>
        <v>0</v>
      </c>
      <c r="L877" s="19" t="e">
        <f>SUMIFS([1]!Motor_Comissão[Valor Previsto],[1]!Motor_Comissão[Chave], tb_Auditoria[[#This Row],[Nº CONTRATO]]&amp;"-"&amp;tb_Auditoria[[#This Row],[PARCELA ATUAL]])</f>
        <v>#REF!</v>
      </c>
      <c r="M877" s="19" t="e">
        <f>tb_Auditoria[[#This Row],[VALOR PAGO]] - tb_Auditoria[[#This Row],[VALOR ESPERADO]]</f>
        <v>#REF!</v>
      </c>
      <c r="N8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8" spans="1:15">
      <c r="A878" s="9">
        <v>1142609</v>
      </c>
      <c r="B878" s="10">
        <v>5</v>
      </c>
      <c r="C878" s="36">
        <v>4.9919999999999999E-3</v>
      </c>
      <c r="D878" s="12">
        <f>tb_Auditoria[[#This Row],[% TAXA RELATÓRIO]]*tb_Auditoria[[#This Row],[VALOR CRÉDITO]]</f>
        <v>1996.8</v>
      </c>
      <c r="E878" s="13">
        <v>46174</v>
      </c>
      <c r="F878" s="13" t="s">
        <v>17</v>
      </c>
      <c r="G87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7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8" s="19">
        <f>IFERROR(INDEX([1]!tb_Vendas[Crédito],MATCH(tb_Auditoria[[#This Row],[Nº CONTRATO]],[1]!tb_Vendas[Nº Contrato],0)),0)</f>
        <v>400000</v>
      </c>
      <c r="K878" s="21">
        <f>IFERROR(tb_Auditoria[[#This Row],[VALOR ESPERADO]] / tb_Auditoria[[#This Row],[VALOR CRÉDITO]], 0)</f>
        <v>0</v>
      </c>
      <c r="L878" s="19" t="e">
        <f>SUMIFS([1]!Motor_Comissão[Valor Previsto],[1]!Motor_Comissão[Chave], tb_Auditoria[[#This Row],[Nº CONTRATO]]&amp;"-"&amp;tb_Auditoria[[#This Row],[PARCELA ATUAL]])</f>
        <v>#REF!</v>
      </c>
      <c r="M878" s="19" t="e">
        <f>tb_Auditoria[[#This Row],[VALOR PAGO]] - tb_Auditoria[[#This Row],[VALOR ESPERADO]]</f>
        <v>#REF!</v>
      </c>
      <c r="N8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79" spans="1:15">
      <c r="A879" s="9">
        <v>1142608</v>
      </c>
      <c r="B879" s="10">
        <v>5</v>
      </c>
      <c r="C879" s="36">
        <v>4.9919999999999999E-3</v>
      </c>
      <c r="D879" s="12">
        <f>tb_Auditoria[[#This Row],[% TAXA RELATÓRIO]]*tb_Auditoria[[#This Row],[VALOR CRÉDITO]]</f>
        <v>1996.8</v>
      </c>
      <c r="E879" s="13">
        <v>46174</v>
      </c>
      <c r="F879" s="13" t="s">
        <v>17</v>
      </c>
      <c r="G87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7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7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79" s="19">
        <f>IFERROR(INDEX([1]!tb_Vendas[Crédito],MATCH(tb_Auditoria[[#This Row],[Nº CONTRATO]],[1]!tb_Vendas[Nº Contrato],0)),0)</f>
        <v>400000</v>
      </c>
      <c r="K879" s="21">
        <f>IFERROR(tb_Auditoria[[#This Row],[VALOR ESPERADO]] / tb_Auditoria[[#This Row],[VALOR CRÉDITO]], 0)</f>
        <v>0</v>
      </c>
      <c r="L879" s="19" t="e">
        <f>SUMIFS([1]!Motor_Comissão[Valor Previsto],[1]!Motor_Comissão[Chave], tb_Auditoria[[#This Row],[Nº CONTRATO]]&amp;"-"&amp;tb_Auditoria[[#This Row],[PARCELA ATUAL]])</f>
        <v>#REF!</v>
      </c>
      <c r="M879" s="19" t="e">
        <f>tb_Auditoria[[#This Row],[VALOR PAGO]] - tb_Auditoria[[#This Row],[VALOR ESPERADO]]</f>
        <v>#REF!</v>
      </c>
      <c r="N8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0" spans="1:15">
      <c r="A880" s="9">
        <v>1142611</v>
      </c>
      <c r="B880" s="10">
        <v>5</v>
      </c>
      <c r="C880" s="36">
        <v>4.9919999999999999E-3</v>
      </c>
      <c r="D880" s="12">
        <f>tb_Auditoria[[#This Row],[% TAXA RELATÓRIO]]*tb_Auditoria[[#This Row],[VALOR CRÉDITO]]</f>
        <v>1996.8</v>
      </c>
      <c r="E880" s="13">
        <v>46174</v>
      </c>
      <c r="F880" s="13" t="s">
        <v>17</v>
      </c>
      <c r="G88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8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0" s="19">
        <f>IFERROR(INDEX([1]!tb_Vendas[Crédito],MATCH(tb_Auditoria[[#This Row],[Nº CONTRATO]],[1]!tb_Vendas[Nº Contrato],0)),0)</f>
        <v>400000</v>
      </c>
      <c r="K880" s="21">
        <f>IFERROR(tb_Auditoria[[#This Row],[VALOR ESPERADO]] / tb_Auditoria[[#This Row],[VALOR CRÉDITO]], 0)</f>
        <v>0</v>
      </c>
      <c r="L880" s="19" t="e">
        <f>SUMIFS([1]!Motor_Comissão[Valor Previsto],[1]!Motor_Comissão[Chave], tb_Auditoria[[#This Row],[Nº CONTRATO]]&amp;"-"&amp;tb_Auditoria[[#This Row],[PARCELA ATUAL]])</f>
        <v>#REF!</v>
      </c>
      <c r="M880" s="19" t="e">
        <f>tb_Auditoria[[#This Row],[VALOR PAGO]] - tb_Auditoria[[#This Row],[VALOR ESPERADO]]</f>
        <v>#REF!</v>
      </c>
      <c r="N8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1" spans="1:15">
      <c r="A881" s="9">
        <v>1142600</v>
      </c>
      <c r="B881" s="10">
        <v>6</v>
      </c>
      <c r="C881" s="36">
        <v>4.4799999999999996E-3</v>
      </c>
      <c r="D881" s="12">
        <f>tb_Auditoria[[#This Row],[% TAXA RELATÓRIO]]*tb_Auditoria[[#This Row],[VALOR CRÉDITO]]</f>
        <v>1301.0478208</v>
      </c>
      <c r="E881" s="13">
        <v>46174</v>
      </c>
      <c r="F881" s="13" t="s">
        <v>17</v>
      </c>
      <c r="G88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8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1" s="19">
        <f>IFERROR(INDEX([1]!tb_Vendas[Crédito],MATCH(tb_Auditoria[[#This Row],[Nº CONTRATO]],[1]!tb_Vendas[Nº Contrato],0)),0)</f>
        <v>290412.46000000002</v>
      </c>
      <c r="K881" s="21">
        <f>IFERROR(tb_Auditoria[[#This Row],[VALOR ESPERADO]] / tb_Auditoria[[#This Row],[VALOR CRÉDITO]], 0)</f>
        <v>0</v>
      </c>
      <c r="L881" s="19" t="e">
        <f>SUMIFS([1]!Motor_Comissão[Valor Previsto],[1]!Motor_Comissão[Chave], tb_Auditoria[[#This Row],[Nº CONTRATO]]&amp;"-"&amp;tb_Auditoria[[#This Row],[PARCELA ATUAL]])</f>
        <v>#REF!</v>
      </c>
      <c r="M881" s="19" t="e">
        <f>tb_Auditoria[[#This Row],[VALOR PAGO]] - tb_Auditoria[[#This Row],[VALOR ESPERADO]]</f>
        <v>#REF!</v>
      </c>
      <c r="N8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2" spans="1:15">
      <c r="A882" s="9">
        <v>1142603</v>
      </c>
      <c r="B882" s="10">
        <v>10</v>
      </c>
      <c r="C882" s="36">
        <v>2.088E-3</v>
      </c>
      <c r="D882" s="12">
        <f>tb_Auditoria[[#This Row],[% TAXA RELATÓRIO]]*tb_Auditoria[[#This Row],[VALOR CRÉDITO]]</f>
        <v>568.63345464000008</v>
      </c>
      <c r="E882" s="13">
        <v>46174</v>
      </c>
      <c r="F882" s="13" t="s">
        <v>17</v>
      </c>
      <c r="G88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8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2" s="19">
        <f>IFERROR(INDEX([1]!tb_Vendas[Crédito],MATCH(tb_Auditoria[[#This Row],[Nº CONTRATO]],[1]!tb_Vendas[Nº Contrato],0)),0)</f>
        <v>272334.03000000003</v>
      </c>
      <c r="K882" s="21">
        <f>IFERROR(tb_Auditoria[[#This Row],[VALOR ESPERADO]] / tb_Auditoria[[#This Row],[VALOR CRÉDITO]], 0)</f>
        <v>0</v>
      </c>
      <c r="L882" s="19" t="e">
        <f>SUMIFS([1]!Motor_Comissão[Valor Previsto],[1]!Motor_Comissão[Chave], tb_Auditoria[[#This Row],[Nº CONTRATO]]&amp;"-"&amp;tb_Auditoria[[#This Row],[PARCELA ATUAL]])</f>
        <v>#REF!</v>
      </c>
      <c r="M882" s="19" t="e">
        <f>tb_Auditoria[[#This Row],[VALOR PAGO]] - tb_Auditoria[[#This Row],[VALOR ESPERADO]]</f>
        <v>#REF!</v>
      </c>
      <c r="N8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3" spans="1:15">
      <c r="A883" s="9">
        <v>1142613</v>
      </c>
      <c r="B883" s="10">
        <v>10</v>
      </c>
      <c r="C883" s="36">
        <v>1.856E-3</v>
      </c>
      <c r="D883" s="12">
        <f>tb_Auditoria[[#This Row],[% TAXA RELATÓRIO]]*tb_Auditoria[[#This Row],[VALOR CRÉDITO]]</f>
        <v>556.79999999999995</v>
      </c>
      <c r="E883" s="13">
        <v>46174</v>
      </c>
      <c r="F883" s="13" t="s">
        <v>17</v>
      </c>
      <c r="G88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8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3" s="19">
        <f>IFERROR(INDEX([1]!tb_Vendas[Crédito],MATCH(tb_Auditoria[[#This Row],[Nº CONTRATO]],[1]!tb_Vendas[Nº Contrato],0)),0)</f>
        <v>300000</v>
      </c>
      <c r="K883" s="21">
        <f>IFERROR(tb_Auditoria[[#This Row],[VALOR ESPERADO]] / tb_Auditoria[[#This Row],[VALOR CRÉDITO]], 0)</f>
        <v>0</v>
      </c>
      <c r="L883" s="19" t="e">
        <f>SUMIFS([1]!Motor_Comissão[Valor Previsto],[1]!Motor_Comissão[Chave], tb_Auditoria[[#This Row],[Nº CONTRATO]]&amp;"-"&amp;tb_Auditoria[[#This Row],[PARCELA ATUAL]])</f>
        <v>#REF!</v>
      </c>
      <c r="M883" s="19" t="e">
        <f>tb_Auditoria[[#This Row],[VALOR PAGO]] - tb_Auditoria[[#This Row],[VALOR ESPERADO]]</f>
        <v>#REF!</v>
      </c>
      <c r="N8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4" spans="1:15">
      <c r="A884" s="9">
        <v>1142614</v>
      </c>
      <c r="B884" s="10">
        <v>10</v>
      </c>
      <c r="C884" s="36">
        <v>1.856E-3</v>
      </c>
      <c r="D884" s="12">
        <f>tb_Auditoria[[#This Row],[% TAXA RELATÓRIO]]*tb_Auditoria[[#This Row],[VALOR CRÉDITO]]</f>
        <v>556.79999999999995</v>
      </c>
      <c r="E884" s="13">
        <v>46174</v>
      </c>
      <c r="F884" s="13" t="s">
        <v>17</v>
      </c>
      <c r="G88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8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4" s="19">
        <f>IFERROR(INDEX([1]!tb_Vendas[Crédito],MATCH(tb_Auditoria[[#This Row],[Nº CONTRATO]],[1]!tb_Vendas[Nº Contrato],0)),0)</f>
        <v>300000</v>
      </c>
      <c r="K884" s="21">
        <f>IFERROR(tb_Auditoria[[#This Row],[VALOR ESPERADO]] / tb_Auditoria[[#This Row],[VALOR CRÉDITO]], 0)</f>
        <v>0</v>
      </c>
      <c r="L884" s="19" t="e">
        <f>SUMIFS([1]!Motor_Comissão[Valor Previsto],[1]!Motor_Comissão[Chave], tb_Auditoria[[#This Row],[Nº CONTRATO]]&amp;"-"&amp;tb_Auditoria[[#This Row],[PARCELA ATUAL]])</f>
        <v>#REF!</v>
      </c>
      <c r="M884" s="19" t="e">
        <f>tb_Auditoria[[#This Row],[VALOR PAGO]] - tb_Auditoria[[#This Row],[VALOR ESPERADO]]</f>
        <v>#REF!</v>
      </c>
      <c r="N8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5" spans="1:15">
      <c r="A885" s="9">
        <v>1142605</v>
      </c>
      <c r="B885" s="10">
        <v>10</v>
      </c>
      <c r="C885" s="36">
        <v>1.9139999999999999E-3</v>
      </c>
      <c r="D885" s="12">
        <f>tb_Auditoria[[#This Row],[% TAXA RELATÓRIO]]*tb_Auditoria[[#This Row],[VALOR CRÉDITO]]</f>
        <v>1361.9552773200001</v>
      </c>
      <c r="E885" s="13">
        <v>46174</v>
      </c>
      <c r="F885" s="13" t="s">
        <v>17</v>
      </c>
      <c r="G88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8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5" s="19">
        <f>IFERROR(INDEX([1]!tb_Vendas[Crédito],MATCH(tb_Auditoria[[#This Row],[Nº CONTRATO]],[1]!tb_Vendas[Nº Contrato],0)),0)</f>
        <v>711575.38</v>
      </c>
      <c r="K885" s="21">
        <f>IFERROR(tb_Auditoria[[#This Row],[VALOR ESPERADO]] / tb_Auditoria[[#This Row],[VALOR CRÉDITO]], 0)</f>
        <v>0</v>
      </c>
      <c r="L885" s="19" t="e">
        <f>SUMIFS([1]!Motor_Comissão[Valor Previsto],[1]!Motor_Comissão[Chave], tb_Auditoria[[#This Row],[Nº CONTRATO]]&amp;"-"&amp;tb_Auditoria[[#This Row],[PARCELA ATUAL]])</f>
        <v>#REF!</v>
      </c>
      <c r="M885" s="19" t="e">
        <f>tb_Auditoria[[#This Row],[VALOR PAGO]] - tb_Auditoria[[#This Row],[VALOR ESPERADO]]</f>
        <v>#REF!</v>
      </c>
      <c r="N8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6" spans="1:15">
      <c r="A886" s="9">
        <v>1142604</v>
      </c>
      <c r="B886" s="10">
        <v>10</v>
      </c>
      <c r="C886" s="36">
        <v>1.9139999999999999E-3</v>
      </c>
      <c r="D886" s="12">
        <f>tb_Auditoria[[#This Row],[% TAXA RELATÓRIO]]*tb_Auditoria[[#This Row],[VALOR CRÉDITO]]</f>
        <v>1361.9552773200001</v>
      </c>
      <c r="E886" s="13">
        <v>46174</v>
      </c>
      <c r="F886" s="13" t="s">
        <v>17</v>
      </c>
      <c r="G88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8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6" s="19">
        <f>IFERROR(INDEX([1]!tb_Vendas[Crédito],MATCH(tb_Auditoria[[#This Row],[Nº CONTRATO]],[1]!tb_Vendas[Nº Contrato],0)),0)</f>
        <v>711575.38</v>
      </c>
      <c r="K886" s="21">
        <f>IFERROR(tb_Auditoria[[#This Row],[VALOR ESPERADO]] / tb_Auditoria[[#This Row],[VALOR CRÉDITO]], 0)</f>
        <v>0</v>
      </c>
      <c r="L886" s="19" t="e">
        <f>SUMIFS([1]!Motor_Comissão[Valor Previsto],[1]!Motor_Comissão[Chave], tb_Auditoria[[#This Row],[Nº CONTRATO]]&amp;"-"&amp;tb_Auditoria[[#This Row],[PARCELA ATUAL]])</f>
        <v>#REF!</v>
      </c>
      <c r="M886" s="19" t="e">
        <f>tb_Auditoria[[#This Row],[VALOR PAGO]] - tb_Auditoria[[#This Row],[VALOR ESPERADO]]</f>
        <v>#REF!</v>
      </c>
      <c r="N8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7" spans="1:15">
      <c r="A887" s="9">
        <v>1142607</v>
      </c>
      <c r="B887" s="10">
        <v>10</v>
      </c>
      <c r="C887" s="36">
        <v>2.2039999999999998E-3</v>
      </c>
      <c r="D887" s="12">
        <f>tb_Auditoria[[#This Row],[% TAXA RELATÓRIO]]*tb_Auditoria[[#This Row],[VALOR CRÉDITO]]</f>
        <v>984.48935403999997</v>
      </c>
      <c r="E887" s="13">
        <v>46174</v>
      </c>
      <c r="F887" s="13" t="s">
        <v>17</v>
      </c>
      <c r="G88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8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7" s="19">
        <f>IFERROR(INDEX([1]!tb_Vendas[Crédito],MATCH(tb_Auditoria[[#This Row],[Nº CONTRATO]],[1]!tb_Vendas[Nº Contrato],0)),0)</f>
        <v>446683.01</v>
      </c>
      <c r="K887" s="21">
        <f>IFERROR(tb_Auditoria[[#This Row],[VALOR ESPERADO]] / tb_Auditoria[[#This Row],[VALOR CRÉDITO]], 0)</f>
        <v>0</v>
      </c>
      <c r="L887" s="19" t="e">
        <f>SUMIFS([1]!Motor_Comissão[Valor Previsto],[1]!Motor_Comissão[Chave], tb_Auditoria[[#This Row],[Nº CONTRATO]]&amp;"-"&amp;tb_Auditoria[[#This Row],[PARCELA ATUAL]])</f>
        <v>#REF!</v>
      </c>
      <c r="M887" s="19" t="e">
        <f>tb_Auditoria[[#This Row],[VALOR PAGO]] - tb_Auditoria[[#This Row],[VALOR ESPERADO]]</f>
        <v>#REF!</v>
      </c>
      <c r="N8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8" spans="1:15">
      <c r="A888" s="9">
        <v>1142606</v>
      </c>
      <c r="B888" s="10">
        <v>10</v>
      </c>
      <c r="C888" s="36">
        <v>2.2039999999999998E-3</v>
      </c>
      <c r="D888" s="12">
        <f>tb_Auditoria[[#This Row],[% TAXA RELATÓRIO]]*tb_Auditoria[[#This Row],[VALOR CRÉDITO]]</f>
        <v>984.48935403999997</v>
      </c>
      <c r="E888" s="13">
        <v>46174</v>
      </c>
      <c r="F888" s="13" t="s">
        <v>17</v>
      </c>
      <c r="G88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8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8" s="19">
        <f>IFERROR(INDEX([1]!tb_Vendas[Crédito],MATCH(tb_Auditoria[[#This Row],[Nº CONTRATO]],[1]!tb_Vendas[Nº Contrato],0)),0)</f>
        <v>446683.01</v>
      </c>
      <c r="K888" s="21">
        <f>IFERROR(tb_Auditoria[[#This Row],[VALOR ESPERADO]] / tb_Auditoria[[#This Row],[VALOR CRÉDITO]], 0)</f>
        <v>0</v>
      </c>
      <c r="L888" s="19" t="e">
        <f>SUMIFS([1]!Motor_Comissão[Valor Previsto],[1]!Motor_Comissão[Chave], tb_Auditoria[[#This Row],[Nº CONTRATO]]&amp;"-"&amp;tb_Auditoria[[#This Row],[PARCELA ATUAL]])</f>
        <v>#REF!</v>
      </c>
      <c r="M888" s="19" t="e">
        <f>tb_Auditoria[[#This Row],[VALOR PAGO]] - tb_Auditoria[[#This Row],[VALOR ESPERADO]]</f>
        <v>#REF!</v>
      </c>
      <c r="N8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89" spans="1:15">
      <c r="A889" s="9">
        <v>1142609</v>
      </c>
      <c r="B889" s="10">
        <v>10</v>
      </c>
      <c r="C889" s="36">
        <v>2.2620000000000001E-3</v>
      </c>
      <c r="D889" s="12">
        <f>tb_Auditoria[[#This Row],[% TAXA RELATÓRIO]]*tb_Auditoria[[#This Row],[VALOR CRÉDITO]]</f>
        <v>904.80000000000007</v>
      </c>
      <c r="E889" s="13">
        <v>46174</v>
      </c>
      <c r="F889" s="13" t="s">
        <v>17</v>
      </c>
      <c r="G88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8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8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89" s="19">
        <f>IFERROR(INDEX([1]!tb_Vendas[Crédito],MATCH(tb_Auditoria[[#This Row],[Nº CONTRATO]],[1]!tb_Vendas[Nº Contrato],0)),0)</f>
        <v>400000</v>
      </c>
      <c r="K889" s="21">
        <f>IFERROR(tb_Auditoria[[#This Row],[VALOR ESPERADO]] / tb_Auditoria[[#This Row],[VALOR CRÉDITO]], 0)</f>
        <v>0</v>
      </c>
      <c r="L889" s="19" t="e">
        <f>SUMIFS([1]!Motor_Comissão[Valor Previsto],[1]!Motor_Comissão[Chave], tb_Auditoria[[#This Row],[Nº CONTRATO]]&amp;"-"&amp;tb_Auditoria[[#This Row],[PARCELA ATUAL]])</f>
        <v>#REF!</v>
      </c>
      <c r="M889" s="19" t="e">
        <f>tb_Auditoria[[#This Row],[VALOR PAGO]] - tb_Auditoria[[#This Row],[VALOR ESPERADO]]</f>
        <v>#REF!</v>
      </c>
      <c r="N8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0" spans="1:15">
      <c r="A890" s="9">
        <v>1142608</v>
      </c>
      <c r="B890" s="10">
        <v>10</v>
      </c>
      <c r="C890" s="36">
        <v>2.2620000000000001E-3</v>
      </c>
      <c r="D890" s="12">
        <f>tb_Auditoria[[#This Row],[% TAXA RELATÓRIO]]*tb_Auditoria[[#This Row],[VALOR CRÉDITO]]</f>
        <v>904.80000000000007</v>
      </c>
      <c r="E890" s="13">
        <v>46174</v>
      </c>
      <c r="F890" s="13" t="s">
        <v>17</v>
      </c>
      <c r="G89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9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0" s="19">
        <f>IFERROR(INDEX([1]!tb_Vendas[Crédito],MATCH(tb_Auditoria[[#This Row],[Nº CONTRATO]],[1]!tb_Vendas[Nº Contrato],0)),0)</f>
        <v>400000</v>
      </c>
      <c r="K890" s="21">
        <f>IFERROR(tb_Auditoria[[#This Row],[VALOR ESPERADO]] / tb_Auditoria[[#This Row],[VALOR CRÉDITO]], 0)</f>
        <v>0</v>
      </c>
      <c r="L890" s="19" t="e">
        <f>SUMIFS([1]!Motor_Comissão[Valor Previsto],[1]!Motor_Comissão[Chave], tb_Auditoria[[#This Row],[Nº CONTRATO]]&amp;"-"&amp;tb_Auditoria[[#This Row],[PARCELA ATUAL]])</f>
        <v>#REF!</v>
      </c>
      <c r="M890" s="19" t="e">
        <f>tb_Auditoria[[#This Row],[VALOR PAGO]] - tb_Auditoria[[#This Row],[VALOR ESPERADO]]</f>
        <v>#REF!</v>
      </c>
      <c r="N8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1" spans="1:15">
      <c r="A891" s="9">
        <v>1142611</v>
      </c>
      <c r="B891" s="10">
        <v>10</v>
      </c>
      <c r="C891" s="36">
        <v>2.2620000000000001E-3</v>
      </c>
      <c r="D891" s="12">
        <f>tb_Auditoria[[#This Row],[% TAXA RELATÓRIO]]*tb_Auditoria[[#This Row],[VALOR CRÉDITO]]</f>
        <v>904.80000000000007</v>
      </c>
      <c r="E891" s="13">
        <v>46174</v>
      </c>
      <c r="F891" s="13" t="s">
        <v>17</v>
      </c>
      <c r="G89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9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1" s="19">
        <f>IFERROR(INDEX([1]!tb_Vendas[Crédito],MATCH(tb_Auditoria[[#This Row],[Nº CONTRATO]],[1]!tb_Vendas[Nº Contrato],0)),0)</f>
        <v>400000</v>
      </c>
      <c r="K891" s="21">
        <f>IFERROR(tb_Auditoria[[#This Row],[VALOR ESPERADO]] / tb_Auditoria[[#This Row],[VALOR CRÉDITO]], 0)</f>
        <v>0</v>
      </c>
      <c r="L891" s="19" t="e">
        <f>SUMIFS([1]!Motor_Comissão[Valor Previsto],[1]!Motor_Comissão[Chave], tb_Auditoria[[#This Row],[Nº CONTRATO]]&amp;"-"&amp;tb_Auditoria[[#This Row],[PARCELA ATUAL]])</f>
        <v>#REF!</v>
      </c>
      <c r="M891" s="19" t="e">
        <f>tb_Auditoria[[#This Row],[VALOR PAGO]] - tb_Auditoria[[#This Row],[VALOR ESPERADO]]</f>
        <v>#REF!</v>
      </c>
      <c r="N8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2" spans="1:15">
      <c r="A892" s="9">
        <v>1142602</v>
      </c>
      <c r="B892" s="10">
        <v>6</v>
      </c>
      <c r="C892" s="36">
        <v>4.4799999999999996E-3</v>
      </c>
      <c r="D892" s="12">
        <f>tb_Auditoria[[#This Row],[% TAXA RELATÓRIO]]*tb_Auditoria[[#This Row],[VALOR CRÉDITO]]</f>
        <v>1299.3099391999997</v>
      </c>
      <c r="E892" s="13">
        <v>46174</v>
      </c>
      <c r="F892" s="13" t="s">
        <v>17</v>
      </c>
      <c r="G89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9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2" s="19">
        <f>IFERROR(INDEX([1]!tb_Vendas[Crédito],MATCH(tb_Auditoria[[#This Row],[Nº CONTRATO]],[1]!tb_Vendas[Nº Contrato],0)),0)</f>
        <v>290024.53999999998</v>
      </c>
      <c r="K892" s="21">
        <f>IFERROR(tb_Auditoria[[#This Row],[VALOR ESPERADO]] / tb_Auditoria[[#This Row],[VALOR CRÉDITO]], 0)</f>
        <v>0</v>
      </c>
      <c r="L892" s="19" t="e">
        <f>SUMIFS([1]!Motor_Comissão[Valor Previsto],[1]!Motor_Comissão[Chave], tb_Auditoria[[#This Row],[Nº CONTRATO]]&amp;"-"&amp;tb_Auditoria[[#This Row],[PARCELA ATUAL]])</f>
        <v>#REF!</v>
      </c>
      <c r="M892" s="19" t="e">
        <f>tb_Auditoria[[#This Row],[VALOR PAGO]] - tb_Auditoria[[#This Row],[VALOR ESPERADO]]</f>
        <v>#REF!</v>
      </c>
      <c r="N8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3" spans="1:15">
      <c r="A893" s="9">
        <v>1142603</v>
      </c>
      <c r="B893" s="10">
        <v>6</v>
      </c>
      <c r="C893" s="36">
        <v>4.6080000000000001E-3</v>
      </c>
      <c r="D893" s="12">
        <f>tb_Auditoria[[#This Row],[% TAXA RELATÓRIO]]*tb_Auditoria[[#This Row],[VALOR CRÉDITO]]</f>
        <v>1254.9152102400001</v>
      </c>
      <c r="E893" s="13">
        <v>46174</v>
      </c>
      <c r="F893" s="13" t="s">
        <v>17</v>
      </c>
      <c r="G89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9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3" s="19">
        <f>IFERROR(INDEX([1]!tb_Vendas[Crédito],MATCH(tb_Auditoria[[#This Row],[Nº CONTRATO]],[1]!tb_Vendas[Nº Contrato],0)),0)</f>
        <v>272334.03000000003</v>
      </c>
      <c r="K893" s="21">
        <f>IFERROR(tb_Auditoria[[#This Row],[VALOR ESPERADO]] / tb_Auditoria[[#This Row],[VALOR CRÉDITO]], 0)</f>
        <v>0</v>
      </c>
      <c r="L893" s="19" t="e">
        <f>SUMIFS([1]!Motor_Comissão[Valor Previsto],[1]!Motor_Comissão[Chave], tb_Auditoria[[#This Row],[Nº CONTRATO]]&amp;"-"&amp;tb_Auditoria[[#This Row],[PARCELA ATUAL]])</f>
        <v>#REF!</v>
      </c>
      <c r="M893" s="19" t="e">
        <f>tb_Auditoria[[#This Row],[VALOR PAGO]] - tb_Auditoria[[#This Row],[VALOR ESPERADO]]</f>
        <v>#REF!</v>
      </c>
      <c r="N8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4" spans="1:15">
      <c r="A894" s="9">
        <v>1142613</v>
      </c>
      <c r="B894" s="10">
        <v>6</v>
      </c>
      <c r="C894" s="36">
        <v>4.0959999999999998E-3</v>
      </c>
      <c r="D894" s="12">
        <f>tb_Auditoria[[#This Row],[% TAXA RELATÓRIO]]*tb_Auditoria[[#This Row],[VALOR CRÉDITO]]</f>
        <v>1228.8</v>
      </c>
      <c r="E894" s="13">
        <v>46174</v>
      </c>
      <c r="F894" s="13" t="s">
        <v>17</v>
      </c>
      <c r="G89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9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4" s="19">
        <f>IFERROR(INDEX([1]!tb_Vendas[Crédito],MATCH(tb_Auditoria[[#This Row],[Nº CONTRATO]],[1]!tb_Vendas[Nº Contrato],0)),0)</f>
        <v>300000</v>
      </c>
      <c r="K894" s="21">
        <f>IFERROR(tb_Auditoria[[#This Row],[VALOR ESPERADO]] / tb_Auditoria[[#This Row],[VALOR CRÉDITO]], 0)</f>
        <v>0</v>
      </c>
      <c r="L894" s="19" t="e">
        <f>SUMIFS([1]!Motor_Comissão[Valor Previsto],[1]!Motor_Comissão[Chave], tb_Auditoria[[#This Row],[Nº CONTRATO]]&amp;"-"&amp;tb_Auditoria[[#This Row],[PARCELA ATUAL]])</f>
        <v>#REF!</v>
      </c>
      <c r="M894" s="19" t="e">
        <f>tb_Auditoria[[#This Row],[VALOR PAGO]] - tb_Auditoria[[#This Row],[VALOR ESPERADO]]</f>
        <v>#REF!</v>
      </c>
      <c r="N89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5" spans="1:15">
      <c r="A895" s="9">
        <v>1142614</v>
      </c>
      <c r="B895" s="10">
        <v>6</v>
      </c>
      <c r="C895" s="36">
        <v>4.0959999999999998E-3</v>
      </c>
      <c r="D895" s="12">
        <f>tb_Auditoria[[#This Row],[% TAXA RELATÓRIO]]*tb_Auditoria[[#This Row],[VALOR CRÉDITO]]</f>
        <v>1228.8</v>
      </c>
      <c r="E895" s="13">
        <v>46174</v>
      </c>
      <c r="F895" s="13" t="s">
        <v>17</v>
      </c>
      <c r="G89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9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5" s="19">
        <f>IFERROR(INDEX([1]!tb_Vendas[Crédito],MATCH(tb_Auditoria[[#This Row],[Nº CONTRATO]],[1]!tb_Vendas[Nº Contrato],0)),0)</f>
        <v>300000</v>
      </c>
      <c r="K895" s="21">
        <f>IFERROR(tb_Auditoria[[#This Row],[VALOR ESPERADO]] / tb_Auditoria[[#This Row],[VALOR CRÉDITO]], 0)</f>
        <v>0</v>
      </c>
      <c r="L895" s="19" t="e">
        <f>SUMIFS([1]!Motor_Comissão[Valor Previsto],[1]!Motor_Comissão[Chave], tb_Auditoria[[#This Row],[Nº CONTRATO]]&amp;"-"&amp;tb_Auditoria[[#This Row],[PARCELA ATUAL]])</f>
        <v>#REF!</v>
      </c>
      <c r="M895" s="19" t="e">
        <f>tb_Auditoria[[#This Row],[VALOR PAGO]] - tb_Auditoria[[#This Row],[VALOR ESPERADO]]</f>
        <v>#REF!</v>
      </c>
      <c r="N8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6" spans="1:15">
      <c r="A896" s="9">
        <v>1142605</v>
      </c>
      <c r="B896" s="10">
        <v>6</v>
      </c>
      <c r="C896" s="36">
        <v>4.2240000000000003E-3</v>
      </c>
      <c r="D896" s="12">
        <f>tb_Auditoria[[#This Row],[% TAXA RELATÓRIO]]*tb_Auditoria[[#This Row],[VALOR CRÉDITO]]</f>
        <v>3005.6944051200003</v>
      </c>
      <c r="E896" s="13">
        <v>46174</v>
      </c>
      <c r="F896" s="13" t="s">
        <v>17</v>
      </c>
      <c r="G89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9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6" s="19">
        <f>IFERROR(INDEX([1]!tb_Vendas[Crédito],MATCH(tb_Auditoria[[#This Row],[Nº CONTRATO]],[1]!tb_Vendas[Nº Contrato],0)),0)</f>
        <v>711575.38</v>
      </c>
      <c r="K896" s="21">
        <f>IFERROR(tb_Auditoria[[#This Row],[VALOR ESPERADO]] / tb_Auditoria[[#This Row],[VALOR CRÉDITO]], 0)</f>
        <v>0</v>
      </c>
      <c r="L896" s="19" t="e">
        <f>SUMIFS([1]!Motor_Comissão[Valor Previsto],[1]!Motor_Comissão[Chave], tb_Auditoria[[#This Row],[Nº CONTRATO]]&amp;"-"&amp;tb_Auditoria[[#This Row],[PARCELA ATUAL]])</f>
        <v>#REF!</v>
      </c>
      <c r="M896" s="19" t="e">
        <f>tb_Auditoria[[#This Row],[VALOR PAGO]] - tb_Auditoria[[#This Row],[VALOR ESPERADO]]</f>
        <v>#REF!</v>
      </c>
      <c r="N8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7" spans="1:15">
      <c r="A897" s="9">
        <v>1142604</v>
      </c>
      <c r="B897" s="10">
        <v>6</v>
      </c>
      <c r="C897" s="36">
        <v>4.2240000000000003E-3</v>
      </c>
      <c r="D897" s="12">
        <f>tb_Auditoria[[#This Row],[% TAXA RELATÓRIO]]*tb_Auditoria[[#This Row],[VALOR CRÉDITO]]</f>
        <v>3005.6944051200003</v>
      </c>
      <c r="E897" s="13">
        <v>46174</v>
      </c>
      <c r="F897" s="13" t="s">
        <v>17</v>
      </c>
      <c r="G89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9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7" s="19">
        <f>IFERROR(INDEX([1]!tb_Vendas[Crédito],MATCH(tb_Auditoria[[#This Row],[Nº CONTRATO]],[1]!tb_Vendas[Nº Contrato],0)),0)</f>
        <v>711575.38</v>
      </c>
      <c r="K897" s="21">
        <f>IFERROR(tb_Auditoria[[#This Row],[VALOR ESPERADO]] / tb_Auditoria[[#This Row],[VALOR CRÉDITO]], 0)</f>
        <v>0</v>
      </c>
      <c r="L897" s="19" t="e">
        <f>SUMIFS([1]!Motor_Comissão[Valor Previsto],[1]!Motor_Comissão[Chave], tb_Auditoria[[#This Row],[Nº CONTRATO]]&amp;"-"&amp;tb_Auditoria[[#This Row],[PARCELA ATUAL]])</f>
        <v>#REF!</v>
      </c>
      <c r="M897" s="19" t="e">
        <f>tb_Auditoria[[#This Row],[VALOR PAGO]] - tb_Auditoria[[#This Row],[VALOR ESPERADO]]</f>
        <v>#REF!</v>
      </c>
      <c r="N8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8" spans="1:15">
      <c r="A898" s="9">
        <v>1142607</v>
      </c>
      <c r="B898" s="10">
        <v>6</v>
      </c>
      <c r="C898" s="36">
        <v>4.8640000000000003E-3</v>
      </c>
      <c r="D898" s="12">
        <f>tb_Auditoria[[#This Row],[% TAXA RELATÓRIO]]*tb_Auditoria[[#This Row],[VALOR CRÉDITO]]</f>
        <v>2172.6661606400003</v>
      </c>
      <c r="E898" s="13">
        <v>46174</v>
      </c>
      <c r="F898" s="13" t="s">
        <v>17</v>
      </c>
      <c r="G89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9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8" s="19">
        <f>IFERROR(INDEX([1]!tb_Vendas[Crédito],MATCH(tb_Auditoria[[#This Row],[Nº CONTRATO]],[1]!tb_Vendas[Nº Contrato],0)),0)</f>
        <v>446683.01</v>
      </c>
      <c r="K898" s="21">
        <f>IFERROR(tb_Auditoria[[#This Row],[VALOR ESPERADO]] / tb_Auditoria[[#This Row],[VALOR CRÉDITO]], 0)</f>
        <v>0</v>
      </c>
      <c r="L898" s="19" t="e">
        <f>SUMIFS([1]!Motor_Comissão[Valor Previsto],[1]!Motor_Comissão[Chave], tb_Auditoria[[#This Row],[Nº CONTRATO]]&amp;"-"&amp;tb_Auditoria[[#This Row],[PARCELA ATUAL]])</f>
        <v>#REF!</v>
      </c>
      <c r="M898" s="19" t="e">
        <f>tb_Auditoria[[#This Row],[VALOR PAGO]] - tb_Auditoria[[#This Row],[VALOR ESPERADO]]</f>
        <v>#REF!</v>
      </c>
      <c r="N8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899" spans="1:15">
      <c r="A899" s="9">
        <v>1142606</v>
      </c>
      <c r="B899" s="10">
        <v>6</v>
      </c>
      <c r="C899" s="36">
        <v>4.8640000000000003E-3</v>
      </c>
      <c r="D899" s="12">
        <f>tb_Auditoria[[#This Row],[% TAXA RELATÓRIO]]*tb_Auditoria[[#This Row],[VALOR CRÉDITO]]</f>
        <v>2172.6661606400003</v>
      </c>
      <c r="E899" s="13">
        <v>46174</v>
      </c>
      <c r="F899" s="13" t="s">
        <v>17</v>
      </c>
      <c r="G89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89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89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899" s="19">
        <f>IFERROR(INDEX([1]!tb_Vendas[Crédito],MATCH(tb_Auditoria[[#This Row],[Nº CONTRATO]],[1]!tb_Vendas[Nº Contrato],0)),0)</f>
        <v>446683.01</v>
      </c>
      <c r="K899" s="21">
        <f>IFERROR(tb_Auditoria[[#This Row],[VALOR ESPERADO]] / tb_Auditoria[[#This Row],[VALOR CRÉDITO]], 0)</f>
        <v>0</v>
      </c>
      <c r="L899" s="19" t="e">
        <f>SUMIFS([1]!Motor_Comissão[Valor Previsto],[1]!Motor_Comissão[Chave], tb_Auditoria[[#This Row],[Nº CONTRATO]]&amp;"-"&amp;tb_Auditoria[[#This Row],[PARCELA ATUAL]])</f>
        <v>#REF!</v>
      </c>
      <c r="M899" s="19" t="e">
        <f>tb_Auditoria[[#This Row],[VALOR PAGO]] - tb_Auditoria[[#This Row],[VALOR ESPERADO]]</f>
        <v>#REF!</v>
      </c>
      <c r="N8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8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0" spans="1:15">
      <c r="A900" s="9">
        <v>1142609</v>
      </c>
      <c r="B900" s="10">
        <v>6</v>
      </c>
      <c r="C900" s="36">
        <v>4.9919999999999999E-3</v>
      </c>
      <c r="D900" s="12">
        <f>tb_Auditoria[[#This Row],[% TAXA RELATÓRIO]]*tb_Auditoria[[#This Row],[VALOR CRÉDITO]]</f>
        <v>1996.8</v>
      </c>
      <c r="E900" s="13">
        <v>46174</v>
      </c>
      <c r="F900" s="13" t="s">
        <v>17</v>
      </c>
      <c r="G90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0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0" s="19">
        <f>IFERROR(INDEX([1]!tb_Vendas[Crédito],MATCH(tb_Auditoria[[#This Row],[Nº CONTRATO]],[1]!tb_Vendas[Nº Contrato],0)),0)</f>
        <v>400000</v>
      </c>
      <c r="K900" s="21">
        <f>IFERROR(tb_Auditoria[[#This Row],[VALOR ESPERADO]] / tb_Auditoria[[#This Row],[VALOR CRÉDITO]], 0)</f>
        <v>0</v>
      </c>
      <c r="L900" s="19" t="e">
        <f>SUMIFS([1]!Motor_Comissão[Valor Previsto],[1]!Motor_Comissão[Chave], tb_Auditoria[[#This Row],[Nº CONTRATO]]&amp;"-"&amp;tb_Auditoria[[#This Row],[PARCELA ATUAL]])</f>
        <v>#REF!</v>
      </c>
      <c r="M900" s="19" t="e">
        <f>tb_Auditoria[[#This Row],[VALOR PAGO]] - tb_Auditoria[[#This Row],[VALOR ESPERADO]]</f>
        <v>#REF!</v>
      </c>
      <c r="N9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1" spans="1:15">
      <c r="A901" s="9">
        <v>1142608</v>
      </c>
      <c r="B901" s="10">
        <v>6</v>
      </c>
      <c r="C901" s="36">
        <v>4.9919999999999999E-3</v>
      </c>
      <c r="D901" s="12">
        <f>tb_Auditoria[[#This Row],[% TAXA RELATÓRIO]]*tb_Auditoria[[#This Row],[VALOR CRÉDITO]]</f>
        <v>1996.8</v>
      </c>
      <c r="E901" s="13">
        <v>46174</v>
      </c>
      <c r="F901" s="13" t="s">
        <v>17</v>
      </c>
      <c r="G90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0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1" s="19">
        <f>IFERROR(INDEX([1]!tb_Vendas[Crédito],MATCH(tb_Auditoria[[#This Row],[Nº CONTRATO]],[1]!tb_Vendas[Nº Contrato],0)),0)</f>
        <v>400000</v>
      </c>
      <c r="K901" s="21">
        <f>IFERROR(tb_Auditoria[[#This Row],[VALOR ESPERADO]] / tb_Auditoria[[#This Row],[VALOR CRÉDITO]], 0)</f>
        <v>0</v>
      </c>
      <c r="L901" s="19" t="e">
        <f>SUMIFS([1]!Motor_Comissão[Valor Previsto],[1]!Motor_Comissão[Chave], tb_Auditoria[[#This Row],[Nº CONTRATO]]&amp;"-"&amp;tb_Auditoria[[#This Row],[PARCELA ATUAL]])</f>
        <v>#REF!</v>
      </c>
      <c r="M901" s="19" t="e">
        <f>tb_Auditoria[[#This Row],[VALOR PAGO]] - tb_Auditoria[[#This Row],[VALOR ESPERADO]]</f>
        <v>#REF!</v>
      </c>
      <c r="N9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2" spans="1:15">
      <c r="A902" s="9">
        <v>1142600</v>
      </c>
      <c r="B902" s="10">
        <v>7</v>
      </c>
      <c r="C902" s="36">
        <v>2.0300000000000001E-3</v>
      </c>
      <c r="D902" s="12">
        <f>tb_Auditoria[[#This Row],[% TAXA RELATÓRIO]]*tb_Auditoria[[#This Row],[VALOR CRÉDITO]]</f>
        <v>589.53729380000004</v>
      </c>
      <c r="E902" s="13">
        <v>46174</v>
      </c>
      <c r="F902" s="13" t="s">
        <v>17</v>
      </c>
      <c r="G90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0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2" s="19">
        <f>IFERROR(INDEX([1]!tb_Vendas[Crédito],MATCH(tb_Auditoria[[#This Row],[Nº CONTRATO]],[1]!tb_Vendas[Nº Contrato],0)),0)</f>
        <v>290412.46000000002</v>
      </c>
      <c r="K902" s="21">
        <f>IFERROR(tb_Auditoria[[#This Row],[VALOR ESPERADO]] / tb_Auditoria[[#This Row],[VALOR CRÉDITO]], 0)</f>
        <v>0</v>
      </c>
      <c r="L902" s="19" t="e">
        <f>SUMIFS([1]!Motor_Comissão[Valor Previsto],[1]!Motor_Comissão[Chave], tb_Auditoria[[#This Row],[Nº CONTRATO]]&amp;"-"&amp;tb_Auditoria[[#This Row],[PARCELA ATUAL]])</f>
        <v>#REF!</v>
      </c>
      <c r="M902" s="19" t="e">
        <f>tb_Auditoria[[#This Row],[VALOR PAGO]] - tb_Auditoria[[#This Row],[VALOR ESPERADO]]</f>
        <v>#REF!</v>
      </c>
      <c r="N9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3" spans="1:15">
      <c r="A903" s="9">
        <v>1142602</v>
      </c>
      <c r="B903" s="10">
        <v>7</v>
      </c>
      <c r="C903" s="36">
        <v>2.0300000000000001E-3</v>
      </c>
      <c r="D903" s="12">
        <f>tb_Auditoria[[#This Row],[% TAXA RELATÓRIO]]*tb_Auditoria[[#This Row],[VALOR CRÉDITO]]</f>
        <v>588.74981619999994</v>
      </c>
      <c r="E903" s="13">
        <v>46174</v>
      </c>
      <c r="F903" s="13" t="s">
        <v>17</v>
      </c>
      <c r="G90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0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3" s="19">
        <f>IFERROR(INDEX([1]!tb_Vendas[Crédito],MATCH(tb_Auditoria[[#This Row],[Nº CONTRATO]],[1]!tb_Vendas[Nº Contrato],0)),0)</f>
        <v>290024.53999999998</v>
      </c>
      <c r="K903" s="21">
        <f>IFERROR(tb_Auditoria[[#This Row],[VALOR ESPERADO]] / tb_Auditoria[[#This Row],[VALOR CRÉDITO]], 0)</f>
        <v>0</v>
      </c>
      <c r="L903" s="19" t="e">
        <f>SUMIFS([1]!Motor_Comissão[Valor Previsto],[1]!Motor_Comissão[Chave], tb_Auditoria[[#This Row],[Nº CONTRATO]]&amp;"-"&amp;tb_Auditoria[[#This Row],[PARCELA ATUAL]])</f>
        <v>#REF!</v>
      </c>
      <c r="M903" s="19" t="e">
        <f>tb_Auditoria[[#This Row],[VALOR PAGO]] - tb_Auditoria[[#This Row],[VALOR ESPERADO]]</f>
        <v>#REF!</v>
      </c>
      <c r="N9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4" spans="1:15">
      <c r="A904" s="9">
        <v>1142603</v>
      </c>
      <c r="B904" s="10">
        <v>7</v>
      </c>
      <c r="C904" s="36">
        <v>2.088E-3</v>
      </c>
      <c r="D904" s="12">
        <f>tb_Auditoria[[#This Row],[% TAXA RELATÓRIO]]*tb_Auditoria[[#This Row],[VALOR CRÉDITO]]</f>
        <v>568.63345464000008</v>
      </c>
      <c r="E904" s="13">
        <v>46174</v>
      </c>
      <c r="F904" s="13" t="s">
        <v>17</v>
      </c>
      <c r="G90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0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4" s="19">
        <f>IFERROR(INDEX([1]!tb_Vendas[Crédito],MATCH(tb_Auditoria[[#This Row],[Nº CONTRATO]],[1]!tb_Vendas[Nº Contrato],0)),0)</f>
        <v>272334.03000000003</v>
      </c>
      <c r="K904" s="21">
        <f>IFERROR(tb_Auditoria[[#This Row],[VALOR ESPERADO]] / tb_Auditoria[[#This Row],[VALOR CRÉDITO]], 0)</f>
        <v>0</v>
      </c>
      <c r="L904" s="19" t="e">
        <f>SUMIFS([1]!Motor_Comissão[Valor Previsto],[1]!Motor_Comissão[Chave], tb_Auditoria[[#This Row],[Nº CONTRATO]]&amp;"-"&amp;tb_Auditoria[[#This Row],[PARCELA ATUAL]])</f>
        <v>#REF!</v>
      </c>
      <c r="M904" s="19" t="e">
        <f>tb_Auditoria[[#This Row],[VALOR PAGO]] - tb_Auditoria[[#This Row],[VALOR ESPERADO]]</f>
        <v>#REF!</v>
      </c>
      <c r="N9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5" spans="1:15">
      <c r="A905" s="9">
        <v>1142613</v>
      </c>
      <c r="B905" s="10">
        <v>7</v>
      </c>
      <c r="C905" s="36">
        <v>1.856E-3</v>
      </c>
      <c r="D905" s="12">
        <f>tb_Auditoria[[#This Row],[% TAXA RELATÓRIO]]*tb_Auditoria[[#This Row],[VALOR CRÉDITO]]</f>
        <v>556.79999999999995</v>
      </c>
      <c r="E905" s="13">
        <v>46174</v>
      </c>
      <c r="F905" s="13" t="s">
        <v>17</v>
      </c>
      <c r="G90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0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5" s="19">
        <f>IFERROR(INDEX([1]!tb_Vendas[Crédito],MATCH(tb_Auditoria[[#This Row],[Nº CONTRATO]],[1]!tb_Vendas[Nº Contrato],0)),0)</f>
        <v>300000</v>
      </c>
      <c r="K905" s="21">
        <f>IFERROR(tb_Auditoria[[#This Row],[VALOR ESPERADO]] / tb_Auditoria[[#This Row],[VALOR CRÉDITO]], 0)</f>
        <v>0</v>
      </c>
      <c r="L905" s="19" t="e">
        <f>SUMIFS([1]!Motor_Comissão[Valor Previsto],[1]!Motor_Comissão[Chave], tb_Auditoria[[#This Row],[Nº CONTRATO]]&amp;"-"&amp;tb_Auditoria[[#This Row],[PARCELA ATUAL]])</f>
        <v>#REF!</v>
      </c>
      <c r="M905" s="19" t="e">
        <f>tb_Auditoria[[#This Row],[VALOR PAGO]] - tb_Auditoria[[#This Row],[VALOR ESPERADO]]</f>
        <v>#REF!</v>
      </c>
      <c r="N9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6" spans="1:15">
      <c r="A906" s="9">
        <v>1142614</v>
      </c>
      <c r="B906" s="10">
        <v>7</v>
      </c>
      <c r="C906" s="36">
        <v>1.856E-3</v>
      </c>
      <c r="D906" s="12">
        <f>tb_Auditoria[[#This Row],[% TAXA RELATÓRIO]]*tb_Auditoria[[#This Row],[VALOR CRÉDITO]]</f>
        <v>556.79999999999995</v>
      </c>
      <c r="E906" s="13">
        <v>46174</v>
      </c>
      <c r="F906" s="13" t="s">
        <v>17</v>
      </c>
      <c r="G90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0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6" s="19">
        <f>IFERROR(INDEX([1]!tb_Vendas[Crédito],MATCH(tb_Auditoria[[#This Row],[Nº CONTRATO]],[1]!tb_Vendas[Nº Contrato],0)),0)</f>
        <v>300000</v>
      </c>
      <c r="K906" s="21">
        <f>IFERROR(tb_Auditoria[[#This Row],[VALOR ESPERADO]] / tb_Auditoria[[#This Row],[VALOR CRÉDITO]], 0)</f>
        <v>0</v>
      </c>
      <c r="L906" s="19" t="e">
        <f>SUMIFS([1]!Motor_Comissão[Valor Previsto],[1]!Motor_Comissão[Chave], tb_Auditoria[[#This Row],[Nº CONTRATO]]&amp;"-"&amp;tb_Auditoria[[#This Row],[PARCELA ATUAL]])</f>
        <v>#REF!</v>
      </c>
      <c r="M906" s="19" t="e">
        <f>tb_Auditoria[[#This Row],[VALOR PAGO]] - tb_Auditoria[[#This Row],[VALOR ESPERADO]]</f>
        <v>#REF!</v>
      </c>
      <c r="N9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7" spans="1:15">
      <c r="A907" s="9">
        <v>1142605</v>
      </c>
      <c r="B907" s="10">
        <v>7</v>
      </c>
      <c r="C907" s="36">
        <v>1.9139999999999999E-3</v>
      </c>
      <c r="D907" s="12">
        <f>tb_Auditoria[[#This Row],[% TAXA RELATÓRIO]]*tb_Auditoria[[#This Row],[VALOR CRÉDITO]]</f>
        <v>1361.9552773200001</v>
      </c>
      <c r="E907" s="13">
        <v>46174</v>
      </c>
      <c r="F907" s="13" t="s">
        <v>17</v>
      </c>
      <c r="G90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0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7" s="19">
        <f>IFERROR(INDEX([1]!tb_Vendas[Crédito],MATCH(tb_Auditoria[[#This Row],[Nº CONTRATO]],[1]!tb_Vendas[Nº Contrato],0)),0)</f>
        <v>711575.38</v>
      </c>
      <c r="K907" s="21">
        <f>IFERROR(tb_Auditoria[[#This Row],[VALOR ESPERADO]] / tb_Auditoria[[#This Row],[VALOR CRÉDITO]], 0)</f>
        <v>0</v>
      </c>
      <c r="L907" s="19" t="e">
        <f>SUMIFS([1]!Motor_Comissão[Valor Previsto],[1]!Motor_Comissão[Chave], tb_Auditoria[[#This Row],[Nº CONTRATO]]&amp;"-"&amp;tb_Auditoria[[#This Row],[PARCELA ATUAL]])</f>
        <v>#REF!</v>
      </c>
      <c r="M907" s="19" t="e">
        <f>tb_Auditoria[[#This Row],[VALOR PAGO]] - tb_Auditoria[[#This Row],[VALOR ESPERADO]]</f>
        <v>#REF!</v>
      </c>
      <c r="N9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8" spans="1:15">
      <c r="A908" s="9">
        <v>1142604</v>
      </c>
      <c r="B908" s="10">
        <v>7</v>
      </c>
      <c r="C908" s="36">
        <v>1.9139999999999999E-3</v>
      </c>
      <c r="D908" s="12">
        <f>tb_Auditoria[[#This Row],[% TAXA RELATÓRIO]]*tb_Auditoria[[#This Row],[VALOR CRÉDITO]]</f>
        <v>1361.9552773200001</v>
      </c>
      <c r="E908" s="13">
        <v>46174</v>
      </c>
      <c r="F908" s="13" t="s">
        <v>17</v>
      </c>
      <c r="G90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0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8" s="19">
        <f>IFERROR(INDEX([1]!tb_Vendas[Crédito],MATCH(tb_Auditoria[[#This Row],[Nº CONTRATO]],[1]!tb_Vendas[Nº Contrato],0)),0)</f>
        <v>711575.38</v>
      </c>
      <c r="K908" s="21">
        <f>IFERROR(tb_Auditoria[[#This Row],[VALOR ESPERADO]] / tb_Auditoria[[#This Row],[VALOR CRÉDITO]], 0)</f>
        <v>0</v>
      </c>
      <c r="L908" s="19" t="e">
        <f>SUMIFS([1]!Motor_Comissão[Valor Previsto],[1]!Motor_Comissão[Chave], tb_Auditoria[[#This Row],[Nº CONTRATO]]&amp;"-"&amp;tb_Auditoria[[#This Row],[PARCELA ATUAL]])</f>
        <v>#REF!</v>
      </c>
      <c r="M908" s="19" t="e">
        <f>tb_Auditoria[[#This Row],[VALOR PAGO]] - tb_Auditoria[[#This Row],[VALOR ESPERADO]]</f>
        <v>#REF!</v>
      </c>
      <c r="N9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09" spans="1:15">
      <c r="A909" s="9">
        <v>1142607</v>
      </c>
      <c r="B909" s="10">
        <v>7</v>
      </c>
      <c r="C909" s="36">
        <v>2.2039999999999998E-3</v>
      </c>
      <c r="D909" s="12">
        <f>tb_Auditoria[[#This Row],[% TAXA RELATÓRIO]]*tb_Auditoria[[#This Row],[VALOR CRÉDITO]]</f>
        <v>984.48935403999997</v>
      </c>
      <c r="E909" s="13">
        <v>46174</v>
      </c>
      <c r="F909" s="13" t="s">
        <v>17</v>
      </c>
      <c r="G90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0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0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09" s="19">
        <f>IFERROR(INDEX([1]!tb_Vendas[Crédito],MATCH(tb_Auditoria[[#This Row],[Nº CONTRATO]],[1]!tb_Vendas[Nº Contrato],0)),0)</f>
        <v>446683.01</v>
      </c>
      <c r="K909" s="21">
        <f>IFERROR(tb_Auditoria[[#This Row],[VALOR ESPERADO]] / tb_Auditoria[[#This Row],[VALOR CRÉDITO]], 0)</f>
        <v>0</v>
      </c>
      <c r="L909" s="19" t="e">
        <f>SUMIFS([1]!Motor_Comissão[Valor Previsto],[1]!Motor_Comissão[Chave], tb_Auditoria[[#This Row],[Nº CONTRATO]]&amp;"-"&amp;tb_Auditoria[[#This Row],[PARCELA ATUAL]])</f>
        <v>#REF!</v>
      </c>
      <c r="M909" s="19" t="e">
        <f>tb_Auditoria[[#This Row],[VALOR PAGO]] - tb_Auditoria[[#This Row],[VALOR ESPERADO]]</f>
        <v>#REF!</v>
      </c>
      <c r="N9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0" spans="1:15">
      <c r="A910" s="9">
        <v>1142606</v>
      </c>
      <c r="B910" s="10">
        <v>7</v>
      </c>
      <c r="C910" s="36">
        <v>2.2039999999999998E-3</v>
      </c>
      <c r="D910" s="12">
        <f>tb_Auditoria[[#This Row],[% TAXA RELATÓRIO]]*tb_Auditoria[[#This Row],[VALOR CRÉDITO]]</f>
        <v>984.48935403999997</v>
      </c>
      <c r="E910" s="13">
        <v>46174</v>
      </c>
      <c r="F910" s="13" t="s">
        <v>17</v>
      </c>
      <c r="G91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1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0" s="19">
        <f>IFERROR(INDEX([1]!tb_Vendas[Crédito],MATCH(tb_Auditoria[[#This Row],[Nº CONTRATO]],[1]!tb_Vendas[Nº Contrato],0)),0)</f>
        <v>446683.01</v>
      </c>
      <c r="K910" s="21">
        <f>IFERROR(tb_Auditoria[[#This Row],[VALOR ESPERADO]] / tb_Auditoria[[#This Row],[VALOR CRÉDITO]], 0)</f>
        <v>0</v>
      </c>
      <c r="L910" s="19" t="e">
        <f>SUMIFS([1]!Motor_Comissão[Valor Previsto],[1]!Motor_Comissão[Chave], tb_Auditoria[[#This Row],[Nº CONTRATO]]&amp;"-"&amp;tb_Auditoria[[#This Row],[PARCELA ATUAL]])</f>
        <v>#REF!</v>
      </c>
      <c r="M910" s="19" t="e">
        <f>tb_Auditoria[[#This Row],[VALOR PAGO]] - tb_Auditoria[[#This Row],[VALOR ESPERADO]]</f>
        <v>#REF!</v>
      </c>
      <c r="N9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1" spans="1:15">
      <c r="A911" s="9">
        <v>1142609</v>
      </c>
      <c r="B911" s="10">
        <v>7</v>
      </c>
      <c r="C911" s="36">
        <v>2.2620000000000001E-3</v>
      </c>
      <c r="D911" s="12">
        <f>tb_Auditoria[[#This Row],[% TAXA RELATÓRIO]]*tb_Auditoria[[#This Row],[VALOR CRÉDITO]]</f>
        <v>904.80000000000007</v>
      </c>
      <c r="E911" s="13">
        <v>46174</v>
      </c>
      <c r="F911" s="13" t="s">
        <v>17</v>
      </c>
      <c r="G91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1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1" s="19">
        <f>IFERROR(INDEX([1]!tb_Vendas[Crédito],MATCH(tb_Auditoria[[#This Row],[Nº CONTRATO]],[1]!tb_Vendas[Nº Contrato],0)),0)</f>
        <v>400000</v>
      </c>
      <c r="K911" s="21">
        <f>IFERROR(tb_Auditoria[[#This Row],[VALOR ESPERADO]] / tb_Auditoria[[#This Row],[VALOR CRÉDITO]], 0)</f>
        <v>0</v>
      </c>
      <c r="L911" s="19" t="e">
        <f>SUMIFS([1]!Motor_Comissão[Valor Previsto],[1]!Motor_Comissão[Chave], tb_Auditoria[[#This Row],[Nº CONTRATO]]&amp;"-"&amp;tb_Auditoria[[#This Row],[PARCELA ATUAL]])</f>
        <v>#REF!</v>
      </c>
      <c r="M911" s="19" t="e">
        <f>tb_Auditoria[[#This Row],[VALOR PAGO]] - tb_Auditoria[[#This Row],[VALOR ESPERADO]]</f>
        <v>#REF!</v>
      </c>
      <c r="N9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2" spans="1:15">
      <c r="A912" s="9">
        <v>1142608</v>
      </c>
      <c r="B912" s="10">
        <v>7</v>
      </c>
      <c r="C912" s="36">
        <v>2.2620000000000001E-3</v>
      </c>
      <c r="D912" s="12">
        <f>tb_Auditoria[[#This Row],[% TAXA RELATÓRIO]]*tb_Auditoria[[#This Row],[VALOR CRÉDITO]]</f>
        <v>904.80000000000007</v>
      </c>
      <c r="E912" s="13">
        <v>46174</v>
      </c>
      <c r="F912" s="13" t="s">
        <v>17</v>
      </c>
      <c r="G91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1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2" s="19">
        <f>IFERROR(INDEX([1]!tb_Vendas[Crédito],MATCH(tb_Auditoria[[#This Row],[Nº CONTRATO]],[1]!tb_Vendas[Nº Contrato],0)),0)</f>
        <v>400000</v>
      </c>
      <c r="K912" s="21">
        <f>IFERROR(tb_Auditoria[[#This Row],[VALOR ESPERADO]] / tb_Auditoria[[#This Row],[VALOR CRÉDITO]], 0)</f>
        <v>0</v>
      </c>
      <c r="L912" s="19" t="e">
        <f>SUMIFS([1]!Motor_Comissão[Valor Previsto],[1]!Motor_Comissão[Chave], tb_Auditoria[[#This Row],[Nº CONTRATO]]&amp;"-"&amp;tb_Auditoria[[#This Row],[PARCELA ATUAL]])</f>
        <v>#REF!</v>
      </c>
      <c r="M912" s="19" t="e">
        <f>tb_Auditoria[[#This Row],[VALOR PAGO]] - tb_Auditoria[[#This Row],[VALOR ESPERADO]]</f>
        <v>#REF!</v>
      </c>
      <c r="N9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3" spans="1:15">
      <c r="A913" s="9">
        <v>1142611</v>
      </c>
      <c r="B913" s="10">
        <v>7</v>
      </c>
      <c r="C913" s="36">
        <v>2.2620000000000001E-3</v>
      </c>
      <c r="D913" s="12">
        <f>tb_Auditoria[[#This Row],[% TAXA RELATÓRIO]]*tb_Auditoria[[#This Row],[VALOR CRÉDITO]]</f>
        <v>904.80000000000007</v>
      </c>
      <c r="E913" s="13">
        <v>46174</v>
      </c>
      <c r="F913" s="13" t="s">
        <v>17</v>
      </c>
      <c r="G91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1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3" s="19">
        <f>IFERROR(INDEX([1]!tb_Vendas[Crédito],MATCH(tb_Auditoria[[#This Row],[Nº CONTRATO]],[1]!tb_Vendas[Nº Contrato],0)),0)</f>
        <v>400000</v>
      </c>
      <c r="K913" s="21">
        <f>IFERROR(tb_Auditoria[[#This Row],[VALOR ESPERADO]] / tb_Auditoria[[#This Row],[VALOR CRÉDITO]], 0)</f>
        <v>0</v>
      </c>
      <c r="L913" s="19" t="e">
        <f>SUMIFS([1]!Motor_Comissão[Valor Previsto],[1]!Motor_Comissão[Chave], tb_Auditoria[[#This Row],[Nº CONTRATO]]&amp;"-"&amp;tb_Auditoria[[#This Row],[PARCELA ATUAL]])</f>
        <v>#REF!</v>
      </c>
      <c r="M913" s="19" t="e">
        <f>tb_Auditoria[[#This Row],[VALOR PAGO]] - tb_Auditoria[[#This Row],[VALOR ESPERADO]]</f>
        <v>#REF!</v>
      </c>
      <c r="N9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4" spans="1:15">
      <c r="A914" s="9">
        <v>1142600</v>
      </c>
      <c r="B914" s="10">
        <v>8</v>
      </c>
      <c r="C914" s="36">
        <v>2.0300000000000001E-3</v>
      </c>
      <c r="D914" s="12">
        <f>tb_Auditoria[[#This Row],[% TAXA RELATÓRIO]]*tb_Auditoria[[#This Row],[VALOR CRÉDITO]]</f>
        <v>589.53729380000004</v>
      </c>
      <c r="E914" s="13">
        <v>46174</v>
      </c>
      <c r="F914" s="13" t="s">
        <v>17</v>
      </c>
      <c r="G91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1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4" s="19">
        <f>IFERROR(INDEX([1]!tb_Vendas[Crédito],MATCH(tb_Auditoria[[#This Row],[Nº CONTRATO]],[1]!tb_Vendas[Nº Contrato],0)),0)</f>
        <v>290412.46000000002</v>
      </c>
      <c r="K914" s="21">
        <f>IFERROR(tb_Auditoria[[#This Row],[VALOR ESPERADO]] / tb_Auditoria[[#This Row],[VALOR CRÉDITO]], 0)</f>
        <v>0</v>
      </c>
      <c r="L914" s="19" t="e">
        <f>SUMIFS([1]!Motor_Comissão[Valor Previsto],[1]!Motor_Comissão[Chave], tb_Auditoria[[#This Row],[Nº CONTRATO]]&amp;"-"&amp;tb_Auditoria[[#This Row],[PARCELA ATUAL]])</f>
        <v>#REF!</v>
      </c>
      <c r="M914" s="19" t="e">
        <f>tb_Auditoria[[#This Row],[VALOR PAGO]] - tb_Auditoria[[#This Row],[VALOR ESPERADO]]</f>
        <v>#REF!</v>
      </c>
      <c r="N9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5" spans="1:15">
      <c r="A915" s="9">
        <v>1142602</v>
      </c>
      <c r="B915" s="10">
        <v>8</v>
      </c>
      <c r="C915" s="36">
        <v>2.0300000000000001E-3</v>
      </c>
      <c r="D915" s="12">
        <f>tb_Auditoria[[#This Row],[% TAXA RELATÓRIO]]*tb_Auditoria[[#This Row],[VALOR CRÉDITO]]</f>
        <v>588.74981619999994</v>
      </c>
      <c r="E915" s="13">
        <v>46174</v>
      </c>
      <c r="F915" s="13" t="s">
        <v>17</v>
      </c>
      <c r="G91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1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5" s="19">
        <f>IFERROR(INDEX([1]!tb_Vendas[Crédito],MATCH(tb_Auditoria[[#This Row],[Nº CONTRATO]],[1]!tb_Vendas[Nº Contrato],0)),0)</f>
        <v>290024.53999999998</v>
      </c>
      <c r="K915" s="21">
        <f>IFERROR(tb_Auditoria[[#This Row],[VALOR ESPERADO]] / tb_Auditoria[[#This Row],[VALOR CRÉDITO]], 0)</f>
        <v>0</v>
      </c>
      <c r="L915" s="19" t="e">
        <f>SUMIFS([1]!Motor_Comissão[Valor Previsto],[1]!Motor_Comissão[Chave], tb_Auditoria[[#This Row],[Nº CONTRATO]]&amp;"-"&amp;tb_Auditoria[[#This Row],[PARCELA ATUAL]])</f>
        <v>#REF!</v>
      </c>
      <c r="M915" s="19" t="e">
        <f>tb_Auditoria[[#This Row],[VALOR PAGO]] - tb_Auditoria[[#This Row],[VALOR ESPERADO]]</f>
        <v>#REF!</v>
      </c>
      <c r="N9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6" spans="1:15">
      <c r="A916" s="9">
        <v>1142603</v>
      </c>
      <c r="B916" s="10">
        <v>8</v>
      </c>
      <c r="C916" s="36">
        <v>2.088E-3</v>
      </c>
      <c r="D916" s="12">
        <f>tb_Auditoria[[#This Row],[% TAXA RELATÓRIO]]*tb_Auditoria[[#This Row],[VALOR CRÉDITO]]</f>
        <v>568.63345464000008</v>
      </c>
      <c r="E916" s="13">
        <v>46174</v>
      </c>
      <c r="F916" s="13" t="s">
        <v>17</v>
      </c>
      <c r="G91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1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6" s="19">
        <f>IFERROR(INDEX([1]!tb_Vendas[Crédito],MATCH(tb_Auditoria[[#This Row],[Nº CONTRATO]],[1]!tb_Vendas[Nº Contrato],0)),0)</f>
        <v>272334.03000000003</v>
      </c>
      <c r="K916" s="21">
        <f>IFERROR(tb_Auditoria[[#This Row],[VALOR ESPERADO]] / tb_Auditoria[[#This Row],[VALOR CRÉDITO]], 0)</f>
        <v>0</v>
      </c>
      <c r="L916" s="19" t="e">
        <f>SUMIFS([1]!Motor_Comissão[Valor Previsto],[1]!Motor_Comissão[Chave], tb_Auditoria[[#This Row],[Nº CONTRATO]]&amp;"-"&amp;tb_Auditoria[[#This Row],[PARCELA ATUAL]])</f>
        <v>#REF!</v>
      </c>
      <c r="M916" s="19" t="e">
        <f>tb_Auditoria[[#This Row],[VALOR PAGO]] - tb_Auditoria[[#This Row],[VALOR ESPERADO]]</f>
        <v>#REF!</v>
      </c>
      <c r="N9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7" spans="1:15">
      <c r="A917" s="9">
        <v>1142613</v>
      </c>
      <c r="B917" s="10">
        <v>8</v>
      </c>
      <c r="C917" s="36">
        <v>1.856E-3</v>
      </c>
      <c r="D917" s="12">
        <f>tb_Auditoria[[#This Row],[% TAXA RELATÓRIO]]*tb_Auditoria[[#This Row],[VALOR CRÉDITO]]</f>
        <v>556.79999999999995</v>
      </c>
      <c r="E917" s="13">
        <v>46174</v>
      </c>
      <c r="F917" s="13" t="s">
        <v>17</v>
      </c>
      <c r="G91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1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7" s="19">
        <f>IFERROR(INDEX([1]!tb_Vendas[Crédito],MATCH(tb_Auditoria[[#This Row],[Nº CONTRATO]],[1]!tb_Vendas[Nº Contrato],0)),0)</f>
        <v>300000</v>
      </c>
      <c r="K917" s="21">
        <f>IFERROR(tb_Auditoria[[#This Row],[VALOR ESPERADO]] / tb_Auditoria[[#This Row],[VALOR CRÉDITO]], 0)</f>
        <v>0</v>
      </c>
      <c r="L917" s="19" t="e">
        <f>SUMIFS([1]!Motor_Comissão[Valor Previsto],[1]!Motor_Comissão[Chave], tb_Auditoria[[#This Row],[Nº CONTRATO]]&amp;"-"&amp;tb_Auditoria[[#This Row],[PARCELA ATUAL]])</f>
        <v>#REF!</v>
      </c>
      <c r="M917" s="19" t="e">
        <f>tb_Auditoria[[#This Row],[VALOR PAGO]] - tb_Auditoria[[#This Row],[VALOR ESPERADO]]</f>
        <v>#REF!</v>
      </c>
      <c r="N9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8" spans="1:15">
      <c r="A918" s="9">
        <v>1142614</v>
      </c>
      <c r="B918" s="10">
        <v>8</v>
      </c>
      <c r="C918" s="36">
        <v>1.856E-3</v>
      </c>
      <c r="D918" s="12">
        <f>tb_Auditoria[[#This Row],[% TAXA RELATÓRIO]]*tb_Auditoria[[#This Row],[VALOR CRÉDITO]]</f>
        <v>556.79999999999995</v>
      </c>
      <c r="E918" s="13">
        <v>46174</v>
      </c>
      <c r="F918" s="13" t="s">
        <v>17</v>
      </c>
      <c r="G91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1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8" s="19">
        <f>IFERROR(INDEX([1]!tb_Vendas[Crédito],MATCH(tb_Auditoria[[#This Row],[Nº CONTRATO]],[1]!tb_Vendas[Nº Contrato],0)),0)</f>
        <v>300000</v>
      </c>
      <c r="K918" s="21">
        <f>IFERROR(tb_Auditoria[[#This Row],[VALOR ESPERADO]] / tb_Auditoria[[#This Row],[VALOR CRÉDITO]], 0)</f>
        <v>0</v>
      </c>
      <c r="L918" s="19" t="e">
        <f>SUMIFS([1]!Motor_Comissão[Valor Previsto],[1]!Motor_Comissão[Chave], tb_Auditoria[[#This Row],[Nº CONTRATO]]&amp;"-"&amp;tb_Auditoria[[#This Row],[PARCELA ATUAL]])</f>
        <v>#REF!</v>
      </c>
      <c r="M918" s="19" t="e">
        <f>tb_Auditoria[[#This Row],[VALOR PAGO]] - tb_Auditoria[[#This Row],[VALOR ESPERADO]]</f>
        <v>#REF!</v>
      </c>
      <c r="N9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19" spans="1:15">
      <c r="A919" s="9">
        <v>1142605</v>
      </c>
      <c r="B919" s="10">
        <v>8</v>
      </c>
      <c r="C919" s="36">
        <v>1.9139999999999999E-3</v>
      </c>
      <c r="D919" s="12">
        <f>tb_Auditoria[[#This Row],[% TAXA RELATÓRIO]]*tb_Auditoria[[#This Row],[VALOR CRÉDITO]]</f>
        <v>1361.9552773200001</v>
      </c>
      <c r="E919" s="13">
        <v>46174</v>
      </c>
      <c r="F919" s="13" t="s">
        <v>17</v>
      </c>
      <c r="G91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1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1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19" s="19">
        <f>IFERROR(INDEX([1]!tb_Vendas[Crédito],MATCH(tb_Auditoria[[#This Row],[Nº CONTRATO]],[1]!tb_Vendas[Nº Contrato],0)),0)</f>
        <v>711575.38</v>
      </c>
      <c r="K919" s="21">
        <f>IFERROR(tb_Auditoria[[#This Row],[VALOR ESPERADO]] / tb_Auditoria[[#This Row],[VALOR CRÉDITO]], 0)</f>
        <v>0</v>
      </c>
      <c r="L919" s="19" t="e">
        <f>SUMIFS([1]!Motor_Comissão[Valor Previsto],[1]!Motor_Comissão[Chave], tb_Auditoria[[#This Row],[Nº CONTRATO]]&amp;"-"&amp;tb_Auditoria[[#This Row],[PARCELA ATUAL]])</f>
        <v>#REF!</v>
      </c>
      <c r="M919" s="19" t="e">
        <f>tb_Auditoria[[#This Row],[VALOR PAGO]] - tb_Auditoria[[#This Row],[VALOR ESPERADO]]</f>
        <v>#REF!</v>
      </c>
      <c r="N9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0" spans="1:15">
      <c r="A920" s="9">
        <v>1142604</v>
      </c>
      <c r="B920" s="10">
        <v>8</v>
      </c>
      <c r="C920" s="36">
        <v>1.9139999999999999E-3</v>
      </c>
      <c r="D920" s="12">
        <f>tb_Auditoria[[#This Row],[% TAXA RELATÓRIO]]*tb_Auditoria[[#This Row],[VALOR CRÉDITO]]</f>
        <v>1361.9552773200001</v>
      </c>
      <c r="E920" s="13">
        <v>46174</v>
      </c>
      <c r="F920" s="13" t="s">
        <v>17</v>
      </c>
      <c r="G92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2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0" s="19">
        <f>IFERROR(INDEX([1]!tb_Vendas[Crédito],MATCH(tb_Auditoria[[#This Row],[Nº CONTRATO]],[1]!tb_Vendas[Nº Contrato],0)),0)</f>
        <v>711575.38</v>
      </c>
      <c r="K920" s="21">
        <f>IFERROR(tb_Auditoria[[#This Row],[VALOR ESPERADO]] / tb_Auditoria[[#This Row],[VALOR CRÉDITO]], 0)</f>
        <v>0</v>
      </c>
      <c r="L920" s="19" t="e">
        <f>SUMIFS([1]!Motor_Comissão[Valor Previsto],[1]!Motor_Comissão[Chave], tb_Auditoria[[#This Row],[Nº CONTRATO]]&amp;"-"&amp;tb_Auditoria[[#This Row],[PARCELA ATUAL]])</f>
        <v>#REF!</v>
      </c>
      <c r="M920" s="19" t="e">
        <f>tb_Auditoria[[#This Row],[VALOR PAGO]] - tb_Auditoria[[#This Row],[VALOR ESPERADO]]</f>
        <v>#REF!</v>
      </c>
      <c r="N9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1" spans="1:15">
      <c r="A921" s="9">
        <v>1142607</v>
      </c>
      <c r="B921" s="10">
        <v>8</v>
      </c>
      <c r="C921" s="36">
        <v>2.2039999999999998E-3</v>
      </c>
      <c r="D921" s="12">
        <f>tb_Auditoria[[#This Row],[% TAXA RELATÓRIO]]*tb_Auditoria[[#This Row],[VALOR CRÉDITO]]</f>
        <v>984.48935403999997</v>
      </c>
      <c r="E921" s="13">
        <v>46174</v>
      </c>
      <c r="F921" s="13" t="s">
        <v>17</v>
      </c>
      <c r="G92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2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1" s="19">
        <f>IFERROR(INDEX([1]!tb_Vendas[Crédito],MATCH(tb_Auditoria[[#This Row],[Nº CONTRATO]],[1]!tb_Vendas[Nº Contrato],0)),0)</f>
        <v>446683.01</v>
      </c>
      <c r="K921" s="21">
        <f>IFERROR(tb_Auditoria[[#This Row],[VALOR ESPERADO]] / tb_Auditoria[[#This Row],[VALOR CRÉDITO]], 0)</f>
        <v>0</v>
      </c>
      <c r="L921" s="19" t="e">
        <f>SUMIFS([1]!Motor_Comissão[Valor Previsto],[1]!Motor_Comissão[Chave], tb_Auditoria[[#This Row],[Nº CONTRATO]]&amp;"-"&amp;tb_Auditoria[[#This Row],[PARCELA ATUAL]])</f>
        <v>#REF!</v>
      </c>
      <c r="M921" s="19" t="e">
        <f>tb_Auditoria[[#This Row],[VALOR PAGO]] - tb_Auditoria[[#This Row],[VALOR ESPERADO]]</f>
        <v>#REF!</v>
      </c>
      <c r="N9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2" spans="1:15">
      <c r="A922" s="9">
        <v>1142606</v>
      </c>
      <c r="B922" s="10">
        <v>8</v>
      </c>
      <c r="C922" s="36">
        <v>2.2039999999999998E-3</v>
      </c>
      <c r="D922" s="12">
        <f>tb_Auditoria[[#This Row],[% TAXA RELATÓRIO]]*tb_Auditoria[[#This Row],[VALOR CRÉDITO]]</f>
        <v>984.48935403999997</v>
      </c>
      <c r="E922" s="13">
        <v>46174</v>
      </c>
      <c r="F922" s="13" t="s">
        <v>17</v>
      </c>
      <c r="G92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2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2" s="19">
        <f>IFERROR(INDEX([1]!tb_Vendas[Crédito],MATCH(tb_Auditoria[[#This Row],[Nº CONTRATO]],[1]!tb_Vendas[Nº Contrato],0)),0)</f>
        <v>446683.01</v>
      </c>
      <c r="K922" s="21">
        <f>IFERROR(tb_Auditoria[[#This Row],[VALOR ESPERADO]] / tb_Auditoria[[#This Row],[VALOR CRÉDITO]], 0)</f>
        <v>0</v>
      </c>
      <c r="L922" s="19" t="e">
        <f>SUMIFS([1]!Motor_Comissão[Valor Previsto],[1]!Motor_Comissão[Chave], tb_Auditoria[[#This Row],[Nº CONTRATO]]&amp;"-"&amp;tb_Auditoria[[#This Row],[PARCELA ATUAL]])</f>
        <v>#REF!</v>
      </c>
      <c r="M922" s="19" t="e">
        <f>tb_Auditoria[[#This Row],[VALOR PAGO]] - tb_Auditoria[[#This Row],[VALOR ESPERADO]]</f>
        <v>#REF!</v>
      </c>
      <c r="N9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3" spans="1:15">
      <c r="A923" s="9">
        <v>1142609</v>
      </c>
      <c r="B923" s="10">
        <v>8</v>
      </c>
      <c r="C923" s="36">
        <v>2.2620000000000001E-3</v>
      </c>
      <c r="D923" s="12">
        <f>tb_Auditoria[[#This Row],[% TAXA RELATÓRIO]]*tb_Auditoria[[#This Row],[VALOR CRÉDITO]]</f>
        <v>904.80000000000007</v>
      </c>
      <c r="E923" s="13">
        <v>46174</v>
      </c>
      <c r="F923" s="13" t="s">
        <v>17</v>
      </c>
      <c r="G92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2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3" s="19">
        <f>IFERROR(INDEX([1]!tb_Vendas[Crédito],MATCH(tb_Auditoria[[#This Row],[Nº CONTRATO]],[1]!tb_Vendas[Nº Contrato],0)),0)</f>
        <v>400000</v>
      </c>
      <c r="K923" s="21">
        <f>IFERROR(tb_Auditoria[[#This Row],[VALOR ESPERADO]] / tb_Auditoria[[#This Row],[VALOR CRÉDITO]], 0)</f>
        <v>0</v>
      </c>
      <c r="L923" s="19" t="e">
        <f>SUMIFS([1]!Motor_Comissão[Valor Previsto],[1]!Motor_Comissão[Chave], tb_Auditoria[[#This Row],[Nº CONTRATO]]&amp;"-"&amp;tb_Auditoria[[#This Row],[PARCELA ATUAL]])</f>
        <v>#REF!</v>
      </c>
      <c r="M923" s="19" t="e">
        <f>tb_Auditoria[[#This Row],[VALOR PAGO]] - tb_Auditoria[[#This Row],[VALOR ESPERADO]]</f>
        <v>#REF!</v>
      </c>
      <c r="N9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4" spans="1:15">
      <c r="A924" s="9">
        <v>1142608</v>
      </c>
      <c r="B924" s="10">
        <v>8</v>
      </c>
      <c r="C924" s="36">
        <v>2.2620000000000001E-3</v>
      </c>
      <c r="D924" s="12">
        <f>tb_Auditoria[[#This Row],[% TAXA RELATÓRIO]]*tb_Auditoria[[#This Row],[VALOR CRÉDITO]]</f>
        <v>904.80000000000007</v>
      </c>
      <c r="E924" s="13">
        <v>46174</v>
      </c>
      <c r="F924" s="13" t="s">
        <v>17</v>
      </c>
      <c r="G92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2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4" s="19">
        <f>IFERROR(INDEX([1]!tb_Vendas[Crédito],MATCH(tb_Auditoria[[#This Row],[Nº CONTRATO]],[1]!tb_Vendas[Nº Contrato],0)),0)</f>
        <v>400000</v>
      </c>
      <c r="K924" s="21">
        <f>IFERROR(tb_Auditoria[[#This Row],[VALOR ESPERADO]] / tb_Auditoria[[#This Row],[VALOR CRÉDITO]], 0)</f>
        <v>0</v>
      </c>
      <c r="L924" s="19" t="e">
        <f>SUMIFS([1]!Motor_Comissão[Valor Previsto],[1]!Motor_Comissão[Chave], tb_Auditoria[[#This Row],[Nº CONTRATO]]&amp;"-"&amp;tb_Auditoria[[#This Row],[PARCELA ATUAL]])</f>
        <v>#REF!</v>
      </c>
      <c r="M924" s="19" t="e">
        <f>tb_Auditoria[[#This Row],[VALOR PAGO]] - tb_Auditoria[[#This Row],[VALOR ESPERADO]]</f>
        <v>#REF!</v>
      </c>
      <c r="N9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5" spans="1:15">
      <c r="A925" s="9">
        <v>1142611</v>
      </c>
      <c r="B925" s="10">
        <v>8</v>
      </c>
      <c r="C925" s="36">
        <v>2.2620000000000001E-3</v>
      </c>
      <c r="D925" s="12">
        <f>tb_Auditoria[[#This Row],[% TAXA RELATÓRIO]]*tb_Auditoria[[#This Row],[VALOR CRÉDITO]]</f>
        <v>904.80000000000007</v>
      </c>
      <c r="E925" s="13">
        <v>46174</v>
      </c>
      <c r="F925" s="13" t="s">
        <v>17</v>
      </c>
      <c r="G92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2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5" s="19">
        <f>IFERROR(INDEX([1]!tb_Vendas[Crédito],MATCH(tb_Auditoria[[#This Row],[Nº CONTRATO]],[1]!tb_Vendas[Nº Contrato],0)),0)</f>
        <v>400000</v>
      </c>
      <c r="K925" s="21">
        <f>IFERROR(tb_Auditoria[[#This Row],[VALOR ESPERADO]] / tb_Auditoria[[#This Row],[VALOR CRÉDITO]], 0)</f>
        <v>0</v>
      </c>
      <c r="L925" s="19" t="e">
        <f>SUMIFS([1]!Motor_Comissão[Valor Previsto],[1]!Motor_Comissão[Chave], tb_Auditoria[[#This Row],[Nº CONTRATO]]&amp;"-"&amp;tb_Auditoria[[#This Row],[PARCELA ATUAL]])</f>
        <v>#REF!</v>
      </c>
      <c r="M925" s="19" t="e">
        <f>tb_Auditoria[[#This Row],[VALOR PAGO]] - tb_Auditoria[[#This Row],[VALOR ESPERADO]]</f>
        <v>#REF!</v>
      </c>
      <c r="N9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6" spans="1:15">
      <c r="A926" s="9">
        <v>1142600</v>
      </c>
      <c r="B926" s="10">
        <v>9</v>
      </c>
      <c r="C926" s="36">
        <v>2.0300000000000001E-3</v>
      </c>
      <c r="D926" s="12">
        <f>tb_Auditoria[[#This Row],[% TAXA RELATÓRIO]]*tb_Auditoria[[#This Row],[VALOR CRÉDITO]]</f>
        <v>589.53729380000004</v>
      </c>
      <c r="E926" s="13">
        <v>46174</v>
      </c>
      <c r="F926" s="13" t="s">
        <v>17</v>
      </c>
      <c r="G92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2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6" s="19">
        <f>IFERROR(INDEX([1]!tb_Vendas[Crédito],MATCH(tb_Auditoria[[#This Row],[Nº CONTRATO]],[1]!tb_Vendas[Nº Contrato],0)),0)</f>
        <v>290412.46000000002</v>
      </c>
      <c r="K926" s="21">
        <f>IFERROR(tb_Auditoria[[#This Row],[VALOR ESPERADO]] / tb_Auditoria[[#This Row],[VALOR CRÉDITO]], 0)</f>
        <v>0</v>
      </c>
      <c r="L926" s="19" t="e">
        <f>SUMIFS([1]!Motor_Comissão[Valor Previsto],[1]!Motor_Comissão[Chave], tb_Auditoria[[#This Row],[Nº CONTRATO]]&amp;"-"&amp;tb_Auditoria[[#This Row],[PARCELA ATUAL]])</f>
        <v>#REF!</v>
      </c>
      <c r="M926" s="19" t="e">
        <f>tb_Auditoria[[#This Row],[VALOR PAGO]] - tb_Auditoria[[#This Row],[VALOR ESPERADO]]</f>
        <v>#REF!</v>
      </c>
      <c r="N9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7" spans="1:15">
      <c r="A927" s="9">
        <v>1142602</v>
      </c>
      <c r="B927" s="10">
        <v>9</v>
      </c>
      <c r="C927" s="36">
        <v>2.0300000000000001E-3</v>
      </c>
      <c r="D927" s="12">
        <f>tb_Auditoria[[#This Row],[% TAXA RELATÓRIO]]*tb_Auditoria[[#This Row],[VALOR CRÉDITO]]</f>
        <v>588.74981619999994</v>
      </c>
      <c r="E927" s="13">
        <v>46174</v>
      </c>
      <c r="F927" s="13" t="s">
        <v>17</v>
      </c>
      <c r="G92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2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7" s="19">
        <f>IFERROR(INDEX([1]!tb_Vendas[Crédito],MATCH(tb_Auditoria[[#This Row],[Nº CONTRATO]],[1]!tb_Vendas[Nº Contrato],0)),0)</f>
        <v>290024.53999999998</v>
      </c>
      <c r="K927" s="21">
        <f>IFERROR(tb_Auditoria[[#This Row],[VALOR ESPERADO]] / tb_Auditoria[[#This Row],[VALOR CRÉDITO]], 0)</f>
        <v>0</v>
      </c>
      <c r="L927" s="19" t="e">
        <f>SUMIFS([1]!Motor_Comissão[Valor Previsto],[1]!Motor_Comissão[Chave], tb_Auditoria[[#This Row],[Nº CONTRATO]]&amp;"-"&amp;tb_Auditoria[[#This Row],[PARCELA ATUAL]])</f>
        <v>#REF!</v>
      </c>
      <c r="M927" s="19" t="e">
        <f>tb_Auditoria[[#This Row],[VALOR PAGO]] - tb_Auditoria[[#This Row],[VALOR ESPERADO]]</f>
        <v>#REF!</v>
      </c>
      <c r="N9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8" spans="1:15">
      <c r="A928" s="9">
        <v>1142603</v>
      </c>
      <c r="B928" s="10">
        <v>9</v>
      </c>
      <c r="C928" s="36">
        <v>2.088E-3</v>
      </c>
      <c r="D928" s="12">
        <f>tb_Auditoria[[#This Row],[% TAXA RELATÓRIO]]*tb_Auditoria[[#This Row],[VALOR CRÉDITO]]</f>
        <v>568.63345464000008</v>
      </c>
      <c r="E928" s="13">
        <v>46174</v>
      </c>
      <c r="F928" s="13" t="s">
        <v>17</v>
      </c>
      <c r="G92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2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8" s="19">
        <f>IFERROR(INDEX([1]!tb_Vendas[Crédito],MATCH(tb_Auditoria[[#This Row],[Nº CONTRATO]],[1]!tb_Vendas[Nº Contrato],0)),0)</f>
        <v>272334.03000000003</v>
      </c>
      <c r="K928" s="21">
        <f>IFERROR(tb_Auditoria[[#This Row],[VALOR ESPERADO]] / tb_Auditoria[[#This Row],[VALOR CRÉDITO]], 0)</f>
        <v>0</v>
      </c>
      <c r="L928" s="19" t="e">
        <f>SUMIFS([1]!Motor_Comissão[Valor Previsto],[1]!Motor_Comissão[Chave], tb_Auditoria[[#This Row],[Nº CONTRATO]]&amp;"-"&amp;tb_Auditoria[[#This Row],[PARCELA ATUAL]])</f>
        <v>#REF!</v>
      </c>
      <c r="M928" s="19" t="e">
        <f>tb_Auditoria[[#This Row],[VALOR PAGO]] - tb_Auditoria[[#This Row],[VALOR ESPERADO]]</f>
        <v>#REF!</v>
      </c>
      <c r="N9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29" spans="1:15">
      <c r="A929" s="9">
        <v>1142613</v>
      </c>
      <c r="B929" s="10">
        <v>9</v>
      </c>
      <c r="C929" s="36">
        <v>1.856E-3</v>
      </c>
      <c r="D929" s="12">
        <f>tb_Auditoria[[#This Row],[% TAXA RELATÓRIO]]*tb_Auditoria[[#This Row],[VALOR CRÉDITO]]</f>
        <v>556.79999999999995</v>
      </c>
      <c r="E929" s="13">
        <v>46174</v>
      </c>
      <c r="F929" s="13" t="s">
        <v>17</v>
      </c>
      <c r="G92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29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29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29" s="19">
        <f>IFERROR(INDEX([1]!tb_Vendas[Crédito],MATCH(tb_Auditoria[[#This Row],[Nº CONTRATO]],[1]!tb_Vendas[Nº Contrato],0)),0)</f>
        <v>300000</v>
      </c>
      <c r="K929" s="21">
        <f>IFERROR(tb_Auditoria[[#This Row],[VALOR ESPERADO]] / tb_Auditoria[[#This Row],[VALOR CRÉDITO]], 0)</f>
        <v>0</v>
      </c>
      <c r="L929" s="19" t="e">
        <f>SUMIFS([1]!Motor_Comissão[Valor Previsto],[1]!Motor_Comissão[Chave], tb_Auditoria[[#This Row],[Nº CONTRATO]]&amp;"-"&amp;tb_Auditoria[[#This Row],[PARCELA ATUAL]])</f>
        <v>#REF!</v>
      </c>
      <c r="M929" s="19" t="e">
        <f>tb_Auditoria[[#This Row],[VALOR PAGO]] - tb_Auditoria[[#This Row],[VALOR ESPERADO]]</f>
        <v>#REF!</v>
      </c>
      <c r="N9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0" spans="1:15">
      <c r="A930" s="9">
        <v>1142614</v>
      </c>
      <c r="B930" s="10">
        <v>9</v>
      </c>
      <c r="C930" s="36">
        <v>1.856E-3</v>
      </c>
      <c r="D930" s="12">
        <f>tb_Auditoria[[#This Row],[% TAXA RELATÓRIO]]*tb_Auditoria[[#This Row],[VALOR CRÉDITO]]</f>
        <v>556.79999999999995</v>
      </c>
      <c r="E930" s="13">
        <v>46174</v>
      </c>
      <c r="F930" s="13" t="s">
        <v>17</v>
      </c>
      <c r="G930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0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30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0" s="19">
        <f>IFERROR(INDEX([1]!tb_Vendas[Crédito],MATCH(tb_Auditoria[[#This Row],[Nº CONTRATO]],[1]!tb_Vendas[Nº Contrato],0)),0)</f>
        <v>300000</v>
      </c>
      <c r="K930" s="21">
        <f>IFERROR(tb_Auditoria[[#This Row],[VALOR ESPERADO]] / tb_Auditoria[[#This Row],[VALOR CRÉDITO]], 0)</f>
        <v>0</v>
      </c>
      <c r="L930" s="19" t="e">
        <f>SUMIFS([1]!Motor_Comissão[Valor Previsto],[1]!Motor_Comissão[Chave], tb_Auditoria[[#This Row],[Nº CONTRATO]]&amp;"-"&amp;tb_Auditoria[[#This Row],[PARCELA ATUAL]])</f>
        <v>#REF!</v>
      </c>
      <c r="M930" s="19" t="e">
        <f>tb_Auditoria[[#This Row],[VALOR PAGO]] - tb_Auditoria[[#This Row],[VALOR ESPERADO]]</f>
        <v>#REF!</v>
      </c>
      <c r="N9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1" spans="1:15">
      <c r="A931" s="9">
        <v>1142605</v>
      </c>
      <c r="B931" s="10">
        <v>9</v>
      </c>
      <c r="C931" s="36">
        <v>1.9139999999999999E-3</v>
      </c>
      <c r="D931" s="12">
        <f>tb_Auditoria[[#This Row],[% TAXA RELATÓRIO]]*tb_Auditoria[[#This Row],[VALOR CRÉDITO]]</f>
        <v>1361.9552773200001</v>
      </c>
      <c r="E931" s="13">
        <v>46174</v>
      </c>
      <c r="F931" s="13" t="s">
        <v>17</v>
      </c>
      <c r="G931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1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31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1" s="19">
        <f>IFERROR(INDEX([1]!tb_Vendas[Crédito],MATCH(tb_Auditoria[[#This Row],[Nº CONTRATO]],[1]!tb_Vendas[Nº Contrato],0)),0)</f>
        <v>711575.38</v>
      </c>
      <c r="K931" s="21">
        <f>IFERROR(tb_Auditoria[[#This Row],[VALOR ESPERADO]] / tb_Auditoria[[#This Row],[VALOR CRÉDITO]], 0)</f>
        <v>0</v>
      </c>
      <c r="L931" s="19" t="e">
        <f>SUMIFS([1]!Motor_Comissão[Valor Previsto],[1]!Motor_Comissão[Chave], tb_Auditoria[[#This Row],[Nº CONTRATO]]&amp;"-"&amp;tb_Auditoria[[#This Row],[PARCELA ATUAL]])</f>
        <v>#REF!</v>
      </c>
      <c r="M931" s="19" t="e">
        <f>tb_Auditoria[[#This Row],[VALOR PAGO]] - tb_Auditoria[[#This Row],[VALOR ESPERADO]]</f>
        <v>#REF!</v>
      </c>
      <c r="N9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2" spans="1:15">
      <c r="A932" s="9">
        <v>1142604</v>
      </c>
      <c r="B932" s="10">
        <v>9</v>
      </c>
      <c r="C932" s="36">
        <v>1.9139999999999999E-3</v>
      </c>
      <c r="D932" s="12">
        <f>tb_Auditoria[[#This Row],[% TAXA RELATÓRIO]]*tb_Auditoria[[#This Row],[VALOR CRÉDITO]]</f>
        <v>1361.9552773200001</v>
      </c>
      <c r="E932" s="13">
        <v>46174</v>
      </c>
      <c r="F932" s="13" t="s">
        <v>17</v>
      </c>
      <c r="G932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2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32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2" s="19">
        <f>IFERROR(INDEX([1]!tb_Vendas[Crédito],MATCH(tb_Auditoria[[#This Row],[Nº CONTRATO]],[1]!tb_Vendas[Nº Contrato],0)),0)</f>
        <v>711575.38</v>
      </c>
      <c r="K932" s="21">
        <f>IFERROR(tb_Auditoria[[#This Row],[VALOR ESPERADO]] / tb_Auditoria[[#This Row],[VALOR CRÉDITO]], 0)</f>
        <v>0</v>
      </c>
      <c r="L932" s="19" t="e">
        <f>SUMIFS([1]!Motor_Comissão[Valor Previsto],[1]!Motor_Comissão[Chave], tb_Auditoria[[#This Row],[Nº CONTRATO]]&amp;"-"&amp;tb_Auditoria[[#This Row],[PARCELA ATUAL]])</f>
        <v>#REF!</v>
      </c>
      <c r="M932" s="19" t="e">
        <f>tb_Auditoria[[#This Row],[VALOR PAGO]] - tb_Auditoria[[#This Row],[VALOR ESPERADO]]</f>
        <v>#REF!</v>
      </c>
      <c r="N9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3" spans="1:15">
      <c r="A933" s="9">
        <v>1142607</v>
      </c>
      <c r="B933" s="10">
        <v>9</v>
      </c>
      <c r="C933" s="36">
        <v>2.2039999999999998E-3</v>
      </c>
      <c r="D933" s="12">
        <f>tb_Auditoria[[#This Row],[% TAXA RELATÓRIO]]*tb_Auditoria[[#This Row],[VALOR CRÉDITO]]</f>
        <v>984.48935403999997</v>
      </c>
      <c r="E933" s="13">
        <v>46174</v>
      </c>
      <c r="F933" s="13" t="s">
        <v>17</v>
      </c>
      <c r="G933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3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33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3" s="19">
        <f>IFERROR(INDEX([1]!tb_Vendas[Crédito],MATCH(tb_Auditoria[[#This Row],[Nº CONTRATO]],[1]!tb_Vendas[Nº Contrato],0)),0)</f>
        <v>446683.01</v>
      </c>
      <c r="K933" s="21">
        <f>IFERROR(tb_Auditoria[[#This Row],[VALOR ESPERADO]] / tb_Auditoria[[#This Row],[VALOR CRÉDITO]], 0)</f>
        <v>0</v>
      </c>
      <c r="L933" s="19" t="e">
        <f>SUMIFS([1]!Motor_Comissão[Valor Previsto],[1]!Motor_Comissão[Chave], tb_Auditoria[[#This Row],[Nº CONTRATO]]&amp;"-"&amp;tb_Auditoria[[#This Row],[PARCELA ATUAL]])</f>
        <v>#REF!</v>
      </c>
      <c r="M933" s="19" t="e">
        <f>tb_Auditoria[[#This Row],[VALOR PAGO]] - tb_Auditoria[[#This Row],[VALOR ESPERADO]]</f>
        <v>#REF!</v>
      </c>
      <c r="N9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4" spans="1:15">
      <c r="A934" s="9">
        <v>1142606</v>
      </c>
      <c r="B934" s="10">
        <v>9</v>
      </c>
      <c r="C934" s="36">
        <v>2.2039999999999998E-3</v>
      </c>
      <c r="D934" s="12">
        <f>tb_Auditoria[[#This Row],[% TAXA RELATÓRIO]]*tb_Auditoria[[#This Row],[VALOR CRÉDITO]]</f>
        <v>984.48935403999997</v>
      </c>
      <c r="E934" s="13">
        <v>46174</v>
      </c>
      <c r="F934" s="13" t="s">
        <v>17</v>
      </c>
      <c r="G934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4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34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4" s="19">
        <f>IFERROR(INDEX([1]!tb_Vendas[Crédito],MATCH(tb_Auditoria[[#This Row],[Nº CONTRATO]],[1]!tb_Vendas[Nº Contrato],0)),0)</f>
        <v>446683.01</v>
      </c>
      <c r="K934" s="21">
        <f>IFERROR(tb_Auditoria[[#This Row],[VALOR ESPERADO]] / tb_Auditoria[[#This Row],[VALOR CRÉDITO]], 0)</f>
        <v>0</v>
      </c>
      <c r="L934" s="19" t="e">
        <f>SUMIFS([1]!Motor_Comissão[Valor Previsto],[1]!Motor_Comissão[Chave], tb_Auditoria[[#This Row],[Nº CONTRATO]]&amp;"-"&amp;tb_Auditoria[[#This Row],[PARCELA ATUAL]])</f>
        <v>#REF!</v>
      </c>
      <c r="M934" s="19" t="e">
        <f>tb_Auditoria[[#This Row],[VALOR PAGO]] - tb_Auditoria[[#This Row],[VALOR ESPERADO]]</f>
        <v>#REF!</v>
      </c>
      <c r="N9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5" spans="1:15">
      <c r="A935" s="9">
        <v>1142609</v>
      </c>
      <c r="B935" s="10">
        <v>9</v>
      </c>
      <c r="C935" s="36">
        <v>2.2620000000000001E-3</v>
      </c>
      <c r="D935" s="12">
        <f>tb_Auditoria[[#This Row],[% TAXA RELATÓRIO]]*tb_Auditoria[[#This Row],[VALOR CRÉDITO]]</f>
        <v>904.80000000000007</v>
      </c>
      <c r="E935" s="13">
        <v>46174</v>
      </c>
      <c r="F935" s="13" t="s">
        <v>17</v>
      </c>
      <c r="G935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5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35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5" s="19">
        <f>IFERROR(INDEX([1]!tb_Vendas[Crédito],MATCH(tb_Auditoria[[#This Row],[Nº CONTRATO]],[1]!tb_Vendas[Nº Contrato],0)),0)</f>
        <v>400000</v>
      </c>
      <c r="K935" s="21">
        <f>IFERROR(tb_Auditoria[[#This Row],[VALOR ESPERADO]] / tb_Auditoria[[#This Row],[VALOR CRÉDITO]], 0)</f>
        <v>0</v>
      </c>
      <c r="L935" s="19" t="e">
        <f>SUMIFS([1]!Motor_Comissão[Valor Previsto],[1]!Motor_Comissão[Chave], tb_Auditoria[[#This Row],[Nº CONTRATO]]&amp;"-"&amp;tb_Auditoria[[#This Row],[PARCELA ATUAL]])</f>
        <v>#REF!</v>
      </c>
      <c r="M935" s="19" t="e">
        <f>tb_Auditoria[[#This Row],[VALOR PAGO]] - tb_Auditoria[[#This Row],[VALOR ESPERADO]]</f>
        <v>#REF!</v>
      </c>
      <c r="N9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6" spans="1:15">
      <c r="A936" s="9">
        <v>1142608</v>
      </c>
      <c r="B936" s="10">
        <v>9</v>
      </c>
      <c r="C936" s="36">
        <v>2.2620000000000001E-3</v>
      </c>
      <c r="D936" s="12">
        <f>tb_Auditoria[[#This Row],[% TAXA RELATÓRIO]]*tb_Auditoria[[#This Row],[VALOR CRÉDITO]]</f>
        <v>904.80000000000007</v>
      </c>
      <c r="E936" s="13">
        <v>46174</v>
      </c>
      <c r="F936" s="13" t="s">
        <v>17</v>
      </c>
      <c r="G936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6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36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6" s="19">
        <f>IFERROR(INDEX([1]!tb_Vendas[Crédito],MATCH(tb_Auditoria[[#This Row],[Nº CONTRATO]],[1]!tb_Vendas[Nº Contrato],0)),0)</f>
        <v>400000</v>
      </c>
      <c r="K936" s="21">
        <f>IFERROR(tb_Auditoria[[#This Row],[VALOR ESPERADO]] / tb_Auditoria[[#This Row],[VALOR CRÉDITO]], 0)</f>
        <v>0</v>
      </c>
      <c r="L936" s="19" t="e">
        <f>SUMIFS([1]!Motor_Comissão[Valor Previsto],[1]!Motor_Comissão[Chave], tb_Auditoria[[#This Row],[Nº CONTRATO]]&amp;"-"&amp;tb_Auditoria[[#This Row],[PARCELA ATUAL]])</f>
        <v>#REF!</v>
      </c>
      <c r="M936" s="19" t="e">
        <f>tb_Auditoria[[#This Row],[VALOR PAGO]] - tb_Auditoria[[#This Row],[VALOR ESPERADO]]</f>
        <v>#REF!</v>
      </c>
      <c r="N9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7" spans="1:15">
      <c r="A937" s="9">
        <v>1142611</v>
      </c>
      <c r="B937" s="10">
        <v>9</v>
      </c>
      <c r="C937" s="36">
        <v>2.2620000000000001E-3</v>
      </c>
      <c r="D937" s="12">
        <f>tb_Auditoria[[#This Row],[% TAXA RELATÓRIO]]*tb_Auditoria[[#This Row],[VALOR CRÉDITO]]</f>
        <v>904.80000000000007</v>
      </c>
      <c r="E937" s="13">
        <v>46174</v>
      </c>
      <c r="F937" s="13" t="s">
        <v>17</v>
      </c>
      <c r="G937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7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37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7" s="19">
        <f>IFERROR(INDEX([1]!tb_Vendas[Crédito],MATCH(tb_Auditoria[[#This Row],[Nº CONTRATO]],[1]!tb_Vendas[Nº Contrato],0)),0)</f>
        <v>400000</v>
      </c>
      <c r="K937" s="21">
        <f>IFERROR(tb_Auditoria[[#This Row],[VALOR ESPERADO]] / tb_Auditoria[[#This Row],[VALOR CRÉDITO]], 0)</f>
        <v>0</v>
      </c>
      <c r="L937" s="19" t="e">
        <f>SUMIFS([1]!Motor_Comissão[Valor Previsto],[1]!Motor_Comissão[Chave], tb_Auditoria[[#This Row],[Nº CONTRATO]]&amp;"-"&amp;tb_Auditoria[[#This Row],[PARCELA ATUAL]])</f>
        <v>#REF!</v>
      </c>
      <c r="M937" s="19" t="e">
        <f>tb_Auditoria[[#This Row],[VALOR PAGO]] - tb_Auditoria[[#This Row],[VALOR ESPERADO]]</f>
        <v>#REF!</v>
      </c>
      <c r="N9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8" spans="1:15">
      <c r="A938" s="9">
        <v>1142600</v>
      </c>
      <c r="B938" s="10">
        <v>10</v>
      </c>
      <c r="C938" s="36">
        <v>2.0300000000000001E-3</v>
      </c>
      <c r="D938" s="12">
        <f>tb_Auditoria[[#This Row],[% TAXA RELATÓRIO]]*tb_Auditoria[[#This Row],[VALOR CRÉDITO]]</f>
        <v>589.53729380000004</v>
      </c>
      <c r="E938" s="13">
        <v>46174</v>
      </c>
      <c r="F938" s="13" t="s">
        <v>17</v>
      </c>
      <c r="G938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8" s="10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38" s="24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8" s="19">
        <f>IFERROR(INDEX([1]!tb_Vendas[Crédito],MATCH(tb_Auditoria[[#This Row],[Nº CONTRATO]],[1]!tb_Vendas[Nº Contrato],0)),0)</f>
        <v>290412.46000000002</v>
      </c>
      <c r="K938" s="21">
        <f>IFERROR(tb_Auditoria[[#This Row],[VALOR ESPERADO]] / tb_Auditoria[[#This Row],[VALOR CRÉDITO]], 0)</f>
        <v>0</v>
      </c>
      <c r="L938" s="19" t="e">
        <f>SUMIFS([1]!Motor_Comissão[Valor Previsto],[1]!Motor_Comissão[Chave], tb_Auditoria[[#This Row],[Nº CONTRATO]]&amp;"-"&amp;tb_Auditoria[[#This Row],[PARCELA ATUAL]])</f>
        <v>#REF!</v>
      </c>
      <c r="M938" s="19" t="e">
        <f>tb_Auditoria[[#This Row],[VALOR PAGO]] - tb_Auditoria[[#This Row],[VALOR ESPERADO]]</f>
        <v>#REF!</v>
      </c>
      <c r="N9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39" spans="1:15">
      <c r="A939" s="30">
        <v>1142602</v>
      </c>
      <c r="B939" s="25">
        <v>10</v>
      </c>
      <c r="C939" s="36">
        <v>2.0300000000000001E-3</v>
      </c>
      <c r="D939" s="32">
        <f>tb_Auditoria[[#This Row],[% TAXA RELATÓRIO]]*tb_Auditoria[[#This Row],[VALOR CRÉDITO]]</f>
        <v>588.74981619999994</v>
      </c>
      <c r="E939" s="13">
        <v>46174</v>
      </c>
      <c r="F939" s="13" t="s">
        <v>17</v>
      </c>
      <c r="G939" s="15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39" s="25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 xml:space="preserve">BUENA ADMINISTRACAO PATRIMONIAL S.A. </v>
      </c>
      <c r="I939" s="26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LEANDRO LEMOS</v>
      </c>
      <c r="J939" s="23">
        <f>IFERROR(INDEX([1]!tb_Vendas[Crédito],MATCH(tb_Auditoria[[#This Row],[Nº CONTRATO]],[1]!tb_Vendas[Nº Contrato],0)),0)</f>
        <v>290024.53999999998</v>
      </c>
      <c r="K939" s="22">
        <f>IFERROR(tb_Auditoria[[#This Row],[VALOR ESPERADO]] / tb_Auditoria[[#This Row],[VALOR CRÉDITO]], 0)</f>
        <v>0</v>
      </c>
      <c r="L939" s="23" t="e">
        <f>SUMIFS([1]!Motor_Comissão[Valor Previsto],[1]!Motor_Comissão[Chave], tb_Auditoria[[#This Row],[Nº CONTRATO]]&amp;"-"&amp;tb_Auditoria[[#This Row],[PARCELA ATUAL]])</f>
        <v>#REF!</v>
      </c>
      <c r="M939" s="23" t="e">
        <f>tb_Auditoria[[#This Row],[VALOR PAGO]] - tb_Auditoria[[#This Row],[VALOR ESPERADO]]</f>
        <v>#REF!</v>
      </c>
      <c r="N939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40" spans="1:15">
      <c r="A940" s="9">
        <v>1139988</v>
      </c>
      <c r="B940" s="10">
        <v>8</v>
      </c>
      <c r="C940" s="37">
        <v>1.9840000000000001E-3</v>
      </c>
      <c r="D940" s="12">
        <f>tb_Auditoria[[#This Row],[% TAXA RELATÓRIO]]*tb_Auditoria[[#This Row],[VALOR CRÉDITO]]</f>
        <v>138.88</v>
      </c>
      <c r="E940" s="13">
        <v>45856</v>
      </c>
      <c r="F940" s="13" t="s">
        <v>18</v>
      </c>
      <c r="G94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4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40" s="19">
        <f>IFERROR(INDEX([1]!tb_Vendas[Crédito],MATCH(tb_Auditoria[[#This Row],[Nº CONTRATO]],[1]!tb_Vendas[Nº Contrato],0)),0)</f>
        <v>70000</v>
      </c>
      <c r="K940" s="21">
        <f>IFERROR(tb_Auditoria[[#This Row],[VALOR ESPERADO]] / tb_Auditoria[[#This Row],[VALOR CRÉDITO]], 0)</f>
        <v>0</v>
      </c>
      <c r="L940" s="19" t="e">
        <f>SUMIFS([1]!Motor_Comissão[Valor Previsto],[1]!Motor_Comissão[Chave], tb_Auditoria[[#This Row],[Nº CONTRATO]]&amp;"-"&amp;tb_Auditoria[[#This Row],[PARCELA ATUAL]])</f>
        <v>#REF!</v>
      </c>
      <c r="M940" s="19" t="e">
        <f>tb_Auditoria[[#This Row],[VALOR PAGO]] - tb_Auditoria[[#This Row],[VALOR ESPERADO]]</f>
        <v>#REF!</v>
      </c>
      <c r="N9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P7)</v>
      </c>
    </row>
    <row r="941" spans="1:15">
      <c r="A941" s="9">
        <v>1139988</v>
      </c>
      <c r="B941" s="10">
        <v>10</v>
      </c>
      <c r="C941" s="37">
        <v>1.9840000000000001E-3</v>
      </c>
      <c r="D941" s="12">
        <f>tb_Auditoria[[#This Row],[% TAXA RELATÓRIO]]*tb_Auditoria[[#This Row],[VALOR CRÉDITO]]</f>
        <v>138.88</v>
      </c>
      <c r="E941" s="13">
        <v>45887</v>
      </c>
      <c r="F941" s="13" t="s">
        <v>18</v>
      </c>
      <c r="G94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4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41" s="19">
        <f>IFERROR(INDEX([1]!tb_Vendas[Crédito],MATCH(tb_Auditoria[[#This Row],[Nº CONTRATO]],[1]!tb_Vendas[Nº Contrato],0)),0)</f>
        <v>70000</v>
      </c>
      <c r="K941" s="21">
        <f>IFERROR(tb_Auditoria[[#This Row],[VALOR ESPERADO]] / tb_Auditoria[[#This Row],[VALOR CRÉDITO]], 0)</f>
        <v>0</v>
      </c>
      <c r="L941" s="19" t="e">
        <f>SUMIFS([1]!Motor_Comissão[Valor Previsto],[1]!Motor_Comissão[Chave], tb_Auditoria[[#This Row],[Nº CONTRATO]]&amp;"-"&amp;tb_Auditoria[[#This Row],[PARCELA ATUAL]])</f>
        <v>#REF!</v>
      </c>
      <c r="M941" s="19" t="e">
        <f>tb_Auditoria[[#This Row],[VALOR PAGO]] - tb_Auditoria[[#This Row],[VALOR ESPERADO]]</f>
        <v>#REF!</v>
      </c>
      <c r="N9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P9)</v>
      </c>
    </row>
    <row r="942" spans="1:15">
      <c r="A942" s="9">
        <v>1139988</v>
      </c>
      <c r="B942" s="10">
        <v>13</v>
      </c>
      <c r="C942" s="37">
        <v>5.0000000000000001E-3</v>
      </c>
      <c r="D942" s="12">
        <f>tb_Auditoria[[#This Row],[% TAXA RELATÓRIO]]*tb_Auditoria[[#This Row],[VALOR CRÉDITO]]</f>
        <v>350</v>
      </c>
      <c r="E942" s="13">
        <v>45980</v>
      </c>
      <c r="F942" s="13" t="s">
        <v>19</v>
      </c>
      <c r="G94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4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42" s="19">
        <f>IFERROR(INDEX([1]!tb_Vendas[Crédito],MATCH(tb_Auditoria[[#This Row],[Nº CONTRATO]],[1]!tb_Vendas[Nº Contrato],0)),0)</f>
        <v>70000</v>
      </c>
      <c r="K942" s="21">
        <f>IFERROR(tb_Auditoria[[#This Row],[VALOR ESPERADO]] / tb_Auditoria[[#This Row],[VALOR CRÉDITO]], 0)</f>
        <v>0</v>
      </c>
      <c r="L942" s="19" t="e">
        <f>SUMIFS([1]!Motor_Comissão[Valor Previsto],[1]!Motor_Comissão[Chave], tb_Auditoria[[#This Row],[Nº CONTRATO]]&amp;"-"&amp;tb_Auditoria[[#This Row],[PARCELA ATUAL]])</f>
        <v>#REF!</v>
      </c>
      <c r="M942" s="19" t="e">
        <f>tb_Auditoria[[#This Row],[VALOR PAGO]] - tb_Auditoria[[#This Row],[VALOR ESPERADO]]</f>
        <v>#REF!</v>
      </c>
      <c r="N9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P12)</v>
      </c>
    </row>
    <row r="943" spans="1:15">
      <c r="A943" s="9">
        <v>1139988</v>
      </c>
      <c r="B943" s="10">
        <v>18</v>
      </c>
      <c r="C943" s="37">
        <v>5.0000000000000001E-3</v>
      </c>
      <c r="D943" s="12">
        <f>tb_Auditoria[[#This Row],[% TAXA RELATÓRIO]]*tb_Auditoria[[#This Row],[VALOR CRÉDITO]]</f>
        <v>350</v>
      </c>
      <c r="E943" s="13">
        <v>46129</v>
      </c>
      <c r="F943" s="13" t="s">
        <v>19</v>
      </c>
      <c r="G94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4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43" s="19">
        <f>IFERROR(INDEX([1]!tb_Vendas[Crédito],MATCH(tb_Auditoria[[#This Row],[Nº CONTRATO]],[1]!tb_Vendas[Nº Contrato],0)),0)</f>
        <v>70000</v>
      </c>
      <c r="K943" s="21">
        <f>IFERROR(tb_Auditoria[[#This Row],[VALOR ESPERADO]] / tb_Auditoria[[#This Row],[VALOR CRÉDITO]], 0)</f>
        <v>0</v>
      </c>
      <c r="L943" s="19" t="e">
        <f>SUMIFS([1]!Motor_Comissão[Valor Previsto],[1]!Motor_Comissão[Chave], tb_Auditoria[[#This Row],[Nº CONTRATO]]&amp;"-"&amp;tb_Auditoria[[#This Row],[PARCELA ATUAL]])</f>
        <v>#REF!</v>
      </c>
      <c r="M943" s="19" t="e">
        <f>tb_Auditoria[[#This Row],[VALOR PAGO]] - tb_Auditoria[[#This Row],[VALOR ESPERADO]]</f>
        <v>#REF!</v>
      </c>
      <c r="N9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P17)</v>
      </c>
    </row>
    <row r="944" spans="1:15">
      <c r="A944" s="9">
        <v>1139989</v>
      </c>
      <c r="B944" s="10">
        <v>8</v>
      </c>
      <c r="C944" s="37">
        <v>1.9840000000000001E-3</v>
      </c>
      <c r="D944" s="12">
        <f>tb_Auditoria[[#This Row],[% TAXA RELATÓRIO]]*tb_Auditoria[[#This Row],[VALOR CRÉDITO]]</f>
        <v>138.88</v>
      </c>
      <c r="E944" s="13">
        <v>45856</v>
      </c>
      <c r="F944" s="13" t="s">
        <v>18</v>
      </c>
      <c r="G94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4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44" s="19">
        <f>IFERROR(INDEX([1]!tb_Vendas[Crédito],MATCH(tb_Auditoria[[#This Row],[Nº CONTRATO]],[1]!tb_Vendas[Nº Contrato],0)),0)</f>
        <v>70000</v>
      </c>
      <c r="K944" s="21">
        <f>IFERROR(tb_Auditoria[[#This Row],[VALOR ESPERADO]] / tb_Auditoria[[#This Row],[VALOR CRÉDITO]], 0)</f>
        <v>0</v>
      </c>
      <c r="L944" s="19" t="e">
        <f>SUMIFS([1]!Motor_Comissão[Valor Previsto],[1]!Motor_Comissão[Chave], tb_Auditoria[[#This Row],[Nº CONTRATO]]&amp;"-"&amp;tb_Auditoria[[#This Row],[PARCELA ATUAL]])</f>
        <v>#REF!</v>
      </c>
      <c r="M944" s="19" t="e">
        <f>tb_Auditoria[[#This Row],[VALOR PAGO]] - tb_Auditoria[[#This Row],[VALOR ESPERADO]]</f>
        <v>#REF!</v>
      </c>
      <c r="N9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P7)</v>
      </c>
    </row>
    <row r="945" spans="1:15">
      <c r="A945" s="9">
        <v>1139989</v>
      </c>
      <c r="B945" s="10">
        <v>10</v>
      </c>
      <c r="C945" s="37">
        <v>1.9840000000000001E-3</v>
      </c>
      <c r="D945" s="12">
        <f>tb_Auditoria[[#This Row],[% TAXA RELATÓRIO]]*tb_Auditoria[[#This Row],[VALOR CRÉDITO]]</f>
        <v>138.88</v>
      </c>
      <c r="E945" s="13">
        <v>45887</v>
      </c>
      <c r="F945" s="13" t="s">
        <v>18</v>
      </c>
      <c r="G94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4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45" s="19">
        <f>IFERROR(INDEX([1]!tb_Vendas[Crédito],MATCH(tb_Auditoria[[#This Row],[Nº CONTRATO]],[1]!tb_Vendas[Nº Contrato],0)),0)</f>
        <v>70000</v>
      </c>
      <c r="K945" s="21">
        <f>IFERROR(tb_Auditoria[[#This Row],[VALOR ESPERADO]] / tb_Auditoria[[#This Row],[VALOR CRÉDITO]], 0)</f>
        <v>0</v>
      </c>
      <c r="L945" s="19" t="e">
        <f>SUMIFS([1]!Motor_Comissão[Valor Previsto],[1]!Motor_Comissão[Chave], tb_Auditoria[[#This Row],[Nº CONTRATO]]&amp;"-"&amp;tb_Auditoria[[#This Row],[PARCELA ATUAL]])</f>
        <v>#REF!</v>
      </c>
      <c r="M945" s="19" t="e">
        <f>tb_Auditoria[[#This Row],[VALOR PAGO]] - tb_Auditoria[[#This Row],[VALOR ESPERADO]]</f>
        <v>#REF!</v>
      </c>
      <c r="N9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P9)</v>
      </c>
    </row>
    <row r="946" spans="1:15">
      <c r="A946" s="9">
        <v>1139989</v>
      </c>
      <c r="B946" s="10">
        <v>13</v>
      </c>
      <c r="C946" s="37">
        <v>5.0000000000000001E-3</v>
      </c>
      <c r="D946" s="12">
        <f>tb_Auditoria[[#This Row],[% TAXA RELATÓRIO]]*tb_Auditoria[[#This Row],[VALOR CRÉDITO]]</f>
        <v>350</v>
      </c>
      <c r="E946" s="13">
        <v>45980</v>
      </c>
      <c r="F946" s="13" t="s">
        <v>19</v>
      </c>
      <c r="G94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4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46" s="19">
        <f>IFERROR(INDEX([1]!tb_Vendas[Crédito],MATCH(tb_Auditoria[[#This Row],[Nº CONTRATO]],[1]!tb_Vendas[Nº Contrato],0)),0)</f>
        <v>70000</v>
      </c>
      <c r="K946" s="21">
        <f>IFERROR(tb_Auditoria[[#This Row],[VALOR ESPERADO]] / tb_Auditoria[[#This Row],[VALOR CRÉDITO]], 0)</f>
        <v>0</v>
      </c>
      <c r="L946" s="19" t="e">
        <f>SUMIFS([1]!Motor_Comissão[Valor Previsto],[1]!Motor_Comissão[Chave], tb_Auditoria[[#This Row],[Nº CONTRATO]]&amp;"-"&amp;tb_Auditoria[[#This Row],[PARCELA ATUAL]])</f>
        <v>#REF!</v>
      </c>
      <c r="M946" s="19" t="e">
        <f>tb_Auditoria[[#This Row],[VALOR PAGO]] - tb_Auditoria[[#This Row],[VALOR ESPERADO]]</f>
        <v>#REF!</v>
      </c>
      <c r="N9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P12)</v>
      </c>
    </row>
    <row r="947" spans="1:15">
      <c r="A947" s="9">
        <v>1139989</v>
      </c>
      <c r="B947" s="10">
        <v>18</v>
      </c>
      <c r="C947" s="37">
        <v>5.0000000000000001E-3</v>
      </c>
      <c r="D947" s="12">
        <f>tb_Auditoria[[#This Row],[% TAXA RELATÓRIO]]*tb_Auditoria[[#This Row],[VALOR CRÉDITO]]</f>
        <v>350</v>
      </c>
      <c r="E947" s="13">
        <v>46129</v>
      </c>
      <c r="F947" s="13" t="s">
        <v>19</v>
      </c>
      <c r="G94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4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47" s="19">
        <f>IFERROR(INDEX([1]!tb_Vendas[Crédito],MATCH(tb_Auditoria[[#This Row],[Nº CONTRATO]],[1]!tb_Vendas[Nº Contrato],0)),0)</f>
        <v>70000</v>
      </c>
      <c r="K947" s="21">
        <f>IFERROR(tb_Auditoria[[#This Row],[VALOR ESPERADO]] / tb_Auditoria[[#This Row],[VALOR CRÉDITO]], 0)</f>
        <v>0</v>
      </c>
      <c r="L947" s="19" t="e">
        <f>SUMIFS([1]!Motor_Comissão[Valor Previsto],[1]!Motor_Comissão[Chave], tb_Auditoria[[#This Row],[Nº CONTRATO]]&amp;"-"&amp;tb_Auditoria[[#This Row],[PARCELA ATUAL]])</f>
        <v>#REF!</v>
      </c>
      <c r="M947" s="19" t="e">
        <f>tb_Auditoria[[#This Row],[VALOR PAGO]] - tb_Auditoria[[#This Row],[VALOR ESPERADO]]</f>
        <v>#REF!</v>
      </c>
      <c r="N9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P17)</v>
      </c>
    </row>
    <row r="948" spans="1:15">
      <c r="A948" s="9">
        <v>1139990</v>
      </c>
      <c r="B948" s="10">
        <v>8</v>
      </c>
      <c r="C948" s="37">
        <v>1.4189999999999999E-3</v>
      </c>
      <c r="D948" s="12">
        <f>tb_Auditoria[[#This Row],[% TAXA RELATÓRIO]]*tb_Auditoria[[#This Row],[VALOR CRÉDITO]]</f>
        <v>567.59999999999991</v>
      </c>
      <c r="E948" s="13">
        <v>45856</v>
      </c>
      <c r="F948" s="13" t="s">
        <v>18</v>
      </c>
      <c r="G94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Rodolpho Silva Ferreira</v>
      </c>
      <c r="I94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48" s="19">
        <f>IFERROR(INDEX([1]!tb_Vendas[Crédito],MATCH(tb_Auditoria[[#This Row],[Nº CONTRATO]],[1]!tb_Vendas[Nº Contrato],0)),0)</f>
        <v>400000</v>
      </c>
      <c r="K948" s="21">
        <f>IFERROR(tb_Auditoria[[#This Row],[VALOR ESPERADO]] / tb_Auditoria[[#This Row],[VALOR CRÉDITO]], 0)</f>
        <v>0</v>
      </c>
      <c r="L948" s="19" t="e">
        <f>SUMIFS([1]!Motor_Comissão[Valor Previsto],[1]!Motor_Comissão[Chave], tb_Auditoria[[#This Row],[Nº CONTRATO]]&amp;"-"&amp;tb_Auditoria[[#This Row],[PARCELA ATUAL]])</f>
        <v>#REF!</v>
      </c>
      <c r="M948" s="19" t="e">
        <f>tb_Auditoria[[#This Row],[VALOR PAGO]] - tb_Auditoria[[#This Row],[VALOR ESPERADO]]</f>
        <v>#REF!</v>
      </c>
      <c r="N9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P7)</v>
      </c>
    </row>
    <row r="949" spans="1:15">
      <c r="A949" s="9">
        <v>1139990</v>
      </c>
      <c r="B949" s="10">
        <v>10</v>
      </c>
      <c r="C949" s="37">
        <v>1.4189999999999999E-3</v>
      </c>
      <c r="D949" s="12">
        <f>tb_Auditoria[[#This Row],[% TAXA RELATÓRIO]]*tb_Auditoria[[#This Row],[VALOR CRÉDITO]]</f>
        <v>567.59999999999991</v>
      </c>
      <c r="E949" s="13">
        <v>45887</v>
      </c>
      <c r="F949" s="13" t="s">
        <v>18</v>
      </c>
      <c r="G94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4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Rodolpho Silva Ferreira</v>
      </c>
      <c r="I94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49" s="19">
        <f>IFERROR(INDEX([1]!tb_Vendas[Crédito],MATCH(tb_Auditoria[[#This Row],[Nº CONTRATO]],[1]!tb_Vendas[Nº Contrato],0)),0)</f>
        <v>400000</v>
      </c>
      <c r="K949" s="21">
        <f>IFERROR(tb_Auditoria[[#This Row],[VALOR ESPERADO]] / tb_Auditoria[[#This Row],[VALOR CRÉDITO]], 0)</f>
        <v>0</v>
      </c>
      <c r="L949" s="19" t="e">
        <f>SUMIFS([1]!Motor_Comissão[Valor Previsto],[1]!Motor_Comissão[Chave], tb_Auditoria[[#This Row],[Nº CONTRATO]]&amp;"-"&amp;tb_Auditoria[[#This Row],[PARCELA ATUAL]])</f>
        <v>#REF!</v>
      </c>
      <c r="M949" s="19" t="e">
        <f>tb_Auditoria[[#This Row],[VALOR PAGO]] - tb_Auditoria[[#This Row],[VALOR ESPERADO]]</f>
        <v>#REF!</v>
      </c>
      <c r="N9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P9)</v>
      </c>
    </row>
    <row r="950" spans="1:15">
      <c r="A950" s="9">
        <v>1139990</v>
      </c>
      <c r="B950" s="10">
        <v>13</v>
      </c>
      <c r="C950" s="37">
        <v>5.0000000000000001E-3</v>
      </c>
      <c r="D950" s="12">
        <f>tb_Auditoria[[#This Row],[% TAXA RELATÓRIO]]*tb_Auditoria[[#This Row],[VALOR CRÉDITO]]</f>
        <v>2000</v>
      </c>
      <c r="E950" s="13">
        <v>45980</v>
      </c>
      <c r="F950" s="13" t="s">
        <v>19</v>
      </c>
      <c r="G95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Rodolpho Silva Ferreira</v>
      </c>
      <c r="I95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50" s="19">
        <f>IFERROR(INDEX([1]!tb_Vendas[Crédito],MATCH(tb_Auditoria[[#This Row],[Nº CONTRATO]],[1]!tb_Vendas[Nº Contrato],0)),0)</f>
        <v>400000</v>
      </c>
      <c r="K950" s="21">
        <f>IFERROR(tb_Auditoria[[#This Row],[VALOR ESPERADO]] / tb_Auditoria[[#This Row],[VALOR CRÉDITO]], 0)</f>
        <v>0</v>
      </c>
      <c r="L950" s="19" t="e">
        <f>SUMIFS([1]!Motor_Comissão[Valor Previsto],[1]!Motor_Comissão[Chave], tb_Auditoria[[#This Row],[Nº CONTRATO]]&amp;"-"&amp;tb_Auditoria[[#This Row],[PARCELA ATUAL]])</f>
        <v>#REF!</v>
      </c>
      <c r="M950" s="19" t="e">
        <f>tb_Auditoria[[#This Row],[VALOR PAGO]] - tb_Auditoria[[#This Row],[VALOR ESPERADO]]</f>
        <v>#REF!</v>
      </c>
      <c r="N9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P12)</v>
      </c>
    </row>
    <row r="951" spans="1:15">
      <c r="A951" s="9">
        <v>1141272</v>
      </c>
      <c r="B951" s="10">
        <v>6</v>
      </c>
      <c r="C951" s="37">
        <v>4.0959999999999998E-3</v>
      </c>
      <c r="D951" s="12">
        <f>tb_Auditoria[[#This Row],[% TAXA RELATÓRIO]]*tb_Auditoria[[#This Row],[VALOR CRÉDITO]]</f>
        <v>1228.8</v>
      </c>
      <c r="E951" s="13">
        <v>45856</v>
      </c>
      <c r="F951" s="13" t="s">
        <v>18</v>
      </c>
      <c r="G95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5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51" s="19">
        <f>IFERROR(INDEX([1]!tb_Vendas[Crédito],MATCH(tb_Auditoria[[#This Row],[Nº CONTRATO]],[1]!tb_Vendas[Nº Contrato],0)),0)</f>
        <v>300000</v>
      </c>
      <c r="K951" s="21">
        <f>IFERROR(tb_Auditoria[[#This Row],[VALOR ESPERADO]] / tb_Auditoria[[#This Row],[VALOR CRÉDITO]], 0)</f>
        <v>0</v>
      </c>
      <c r="L951" s="19" t="e">
        <f>SUMIFS([1]!Motor_Comissão[Valor Previsto],[1]!Motor_Comissão[Chave], tb_Auditoria[[#This Row],[Nº CONTRATO]]&amp;"-"&amp;tb_Auditoria[[#This Row],[PARCELA ATUAL]])</f>
        <v>#REF!</v>
      </c>
      <c r="M951" s="19" t="e">
        <f>tb_Auditoria[[#This Row],[VALOR PAGO]] - tb_Auditoria[[#This Row],[VALOR ESPERADO]]</f>
        <v>#REF!</v>
      </c>
      <c r="N9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952" spans="1:15">
      <c r="A952" s="9">
        <v>1141272</v>
      </c>
      <c r="B952" s="10">
        <v>8</v>
      </c>
      <c r="C952" s="37">
        <v>1.856E-3</v>
      </c>
      <c r="D952" s="12">
        <f>tb_Auditoria[[#This Row],[% TAXA RELATÓRIO]]*tb_Auditoria[[#This Row],[VALOR CRÉDITO]]</f>
        <v>556.79999999999995</v>
      </c>
      <c r="E952" s="13">
        <v>45887</v>
      </c>
      <c r="F952" s="13" t="s">
        <v>18</v>
      </c>
      <c r="G95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5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52" s="19">
        <f>IFERROR(INDEX([1]!tb_Vendas[Crédito],MATCH(tb_Auditoria[[#This Row],[Nº CONTRATO]],[1]!tb_Vendas[Nº Contrato],0)),0)</f>
        <v>300000</v>
      </c>
      <c r="K952" s="21">
        <f>IFERROR(tb_Auditoria[[#This Row],[VALOR ESPERADO]] / tb_Auditoria[[#This Row],[VALOR CRÉDITO]], 0)</f>
        <v>0</v>
      </c>
      <c r="L952" s="19" t="e">
        <f>SUMIFS([1]!Motor_Comissão[Valor Previsto],[1]!Motor_Comissão[Chave], tb_Auditoria[[#This Row],[Nº CONTRATO]]&amp;"-"&amp;tb_Auditoria[[#This Row],[PARCELA ATUAL]])</f>
        <v>#REF!</v>
      </c>
      <c r="M952" s="19" t="e">
        <f>tb_Auditoria[[#This Row],[VALOR PAGO]] - tb_Auditoria[[#This Row],[VALOR ESPERADO]]</f>
        <v>#REF!</v>
      </c>
      <c r="N9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P7)</v>
      </c>
    </row>
    <row r="953" spans="1:15">
      <c r="A953" s="30">
        <v>1141272</v>
      </c>
      <c r="B953" s="25">
        <v>9</v>
      </c>
      <c r="C953" s="37">
        <v>1.856E-3</v>
      </c>
      <c r="D953" s="32">
        <f>tb_Auditoria[[#This Row],[% TAXA RELATÓRIO]]*tb_Auditoria[[#This Row],[VALOR CRÉDITO]]</f>
        <v>556.79999999999995</v>
      </c>
      <c r="E953" s="29">
        <v>45918</v>
      </c>
      <c r="F953" s="13" t="s">
        <v>18</v>
      </c>
      <c r="G953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3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53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53" s="23">
        <f>IFERROR(INDEX([1]!tb_Vendas[Crédito],MATCH(tb_Auditoria[[#This Row],[Nº CONTRATO]],[1]!tb_Vendas[Nº Contrato],0)),0)</f>
        <v>300000</v>
      </c>
      <c r="K953" s="22">
        <f>IFERROR(tb_Auditoria[[#This Row],[VALOR ESPERADO]] / tb_Auditoria[[#This Row],[VALOR CRÉDITO]], 0)</f>
        <v>0</v>
      </c>
      <c r="L953" s="23" t="e">
        <f>SUMIFS([1]!Motor_Comissão[Valor Previsto],[1]!Motor_Comissão[Chave], tb_Auditoria[[#This Row],[Nº CONTRATO]]&amp;"-"&amp;tb_Auditoria[[#This Row],[PARCELA ATUAL]])</f>
        <v>#REF!</v>
      </c>
      <c r="M953" s="23" t="e">
        <f>tb_Auditoria[[#This Row],[VALOR PAGO]] - tb_Auditoria[[#This Row],[VALOR ESPERADO]]</f>
        <v>#REF!</v>
      </c>
      <c r="N953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3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54" spans="1:15">
      <c r="A954" s="9">
        <v>1141272</v>
      </c>
      <c r="B954" s="10">
        <v>10</v>
      </c>
      <c r="C954" s="37">
        <v>1.856E-3</v>
      </c>
      <c r="D954" s="12">
        <f>tb_Auditoria[[#This Row],[% TAXA RELATÓRIO]]*tb_Auditoria[[#This Row],[VALOR CRÉDITO]]</f>
        <v>556.79999999999995</v>
      </c>
      <c r="E954" s="13">
        <v>45946</v>
      </c>
      <c r="F954" s="13" t="s">
        <v>18</v>
      </c>
      <c r="G95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5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54" s="19">
        <f>IFERROR(INDEX([1]!tb_Vendas[Crédito],MATCH(tb_Auditoria[[#This Row],[Nº CONTRATO]],[1]!tb_Vendas[Nº Contrato],0)),0)</f>
        <v>300000</v>
      </c>
      <c r="K954" s="21">
        <f>IFERROR(tb_Auditoria[[#This Row],[VALOR ESPERADO]] / tb_Auditoria[[#This Row],[VALOR CRÉDITO]], 0)</f>
        <v>0</v>
      </c>
      <c r="L954" s="19" t="e">
        <f>SUMIFS([1]!Motor_Comissão[Valor Previsto],[1]!Motor_Comissão[Chave], tb_Auditoria[[#This Row],[Nº CONTRATO]]&amp;"-"&amp;tb_Auditoria[[#This Row],[PARCELA ATUAL]])</f>
        <v>#REF!</v>
      </c>
      <c r="M954" s="19" t="e">
        <f>tb_Auditoria[[#This Row],[VALOR PAGO]] - tb_Auditoria[[#This Row],[VALOR ESPERADO]]</f>
        <v>#REF!</v>
      </c>
      <c r="N9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55" spans="1:15">
      <c r="A955" s="9">
        <v>1141272</v>
      </c>
      <c r="B955" s="10">
        <v>12</v>
      </c>
      <c r="C955" s="37">
        <v>1.25E-3</v>
      </c>
      <c r="D955" s="12">
        <f>tb_Auditoria[[#This Row],[% TAXA RELATÓRIO]]*tb_Auditoria[[#This Row],[VALOR CRÉDITO]]</f>
        <v>375</v>
      </c>
      <c r="E955" s="13">
        <v>46017</v>
      </c>
      <c r="F955" s="13" t="s">
        <v>18</v>
      </c>
      <c r="G95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5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55" s="19">
        <f>IFERROR(INDEX([1]!tb_Vendas[Crédito],MATCH(tb_Auditoria[[#This Row],[Nº CONTRATO]],[1]!tb_Vendas[Nº Contrato],0)),0)</f>
        <v>300000</v>
      </c>
      <c r="K955" s="21">
        <f>IFERROR(tb_Auditoria[[#This Row],[VALOR ESPERADO]] / tb_Auditoria[[#This Row],[VALOR CRÉDITO]], 0)</f>
        <v>0</v>
      </c>
      <c r="L955" s="19" t="e">
        <f>SUMIFS([1]!Motor_Comissão[Valor Previsto],[1]!Motor_Comissão[Chave], tb_Auditoria[[#This Row],[Nº CONTRATO]]&amp;"-"&amp;tb_Auditoria[[#This Row],[PARCELA ATUAL]])</f>
        <v>#REF!</v>
      </c>
      <c r="M955" s="19" t="e">
        <f>tb_Auditoria[[#This Row],[VALOR PAGO]] - tb_Auditoria[[#This Row],[VALOR ESPERADO]]</f>
        <v>#REF!</v>
      </c>
      <c r="N9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56" spans="1:15">
      <c r="A956" s="9">
        <v>1141272</v>
      </c>
      <c r="B956" s="10">
        <v>13</v>
      </c>
      <c r="C956" s="37">
        <v>5.0000000000000001E-3</v>
      </c>
      <c r="D956" s="12">
        <f>tb_Auditoria[[#This Row],[% TAXA RELATÓRIO]]*tb_Auditoria[[#This Row],[VALOR CRÉDITO]]</f>
        <v>1500</v>
      </c>
      <c r="E956" s="13">
        <v>46038</v>
      </c>
      <c r="F956" s="13" t="s">
        <v>19</v>
      </c>
      <c r="G95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5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56" s="19">
        <f>IFERROR(INDEX([1]!tb_Vendas[Crédito],MATCH(tb_Auditoria[[#This Row],[Nº CONTRATO]],[1]!tb_Vendas[Nº Contrato],0)),0)</f>
        <v>300000</v>
      </c>
      <c r="K956" s="21">
        <f>IFERROR(tb_Auditoria[[#This Row],[VALOR ESPERADO]] / tb_Auditoria[[#This Row],[VALOR CRÉDITO]], 0)</f>
        <v>0</v>
      </c>
      <c r="L956" s="19" t="e">
        <f>SUMIFS([1]!Motor_Comissão[Valor Previsto],[1]!Motor_Comissão[Chave], tb_Auditoria[[#This Row],[Nº CONTRATO]]&amp;"-"&amp;tb_Auditoria[[#This Row],[PARCELA ATUAL]])</f>
        <v>#REF!</v>
      </c>
      <c r="M956" s="19" t="e">
        <f>tb_Auditoria[[#This Row],[VALOR PAGO]] - tb_Auditoria[[#This Row],[VALOR ESPERADO]]</f>
        <v>#REF!</v>
      </c>
      <c r="N9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57" spans="1:15">
      <c r="A957" s="9">
        <v>1141273</v>
      </c>
      <c r="B957" s="10">
        <v>6</v>
      </c>
      <c r="C957" s="37">
        <v>4.0959999999999998E-3</v>
      </c>
      <c r="D957" s="12">
        <f>tb_Auditoria[[#This Row],[% TAXA RELATÓRIO]]*tb_Auditoria[[#This Row],[VALOR CRÉDITO]]</f>
        <v>1228.8</v>
      </c>
      <c r="E957" s="13">
        <v>45856</v>
      </c>
      <c r="F957" s="13" t="s">
        <v>18</v>
      </c>
      <c r="G95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5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57" s="19">
        <f>IFERROR(INDEX([1]!tb_Vendas[Crédito],MATCH(tb_Auditoria[[#This Row],[Nº CONTRATO]],[1]!tb_Vendas[Nº Contrato],0)),0)</f>
        <v>300000</v>
      </c>
      <c r="K957" s="21">
        <f>IFERROR(tb_Auditoria[[#This Row],[VALOR ESPERADO]] / tb_Auditoria[[#This Row],[VALOR CRÉDITO]], 0)</f>
        <v>0</v>
      </c>
      <c r="L957" s="19" t="e">
        <f>SUMIFS([1]!Motor_Comissão[Valor Previsto],[1]!Motor_Comissão[Chave], tb_Auditoria[[#This Row],[Nº CONTRATO]]&amp;"-"&amp;tb_Auditoria[[#This Row],[PARCELA ATUAL]])</f>
        <v>#REF!</v>
      </c>
      <c r="M957" s="19" t="e">
        <f>tb_Auditoria[[#This Row],[VALOR PAGO]] - tb_Auditoria[[#This Row],[VALOR ESPERADO]]</f>
        <v>#REF!</v>
      </c>
      <c r="N9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P5)</v>
      </c>
    </row>
    <row r="958" spans="1:15">
      <c r="A958" s="9">
        <v>1141273</v>
      </c>
      <c r="B958" s="10">
        <v>8</v>
      </c>
      <c r="C958" s="37">
        <v>1.856E-3</v>
      </c>
      <c r="D958" s="12">
        <f>tb_Auditoria[[#This Row],[% TAXA RELATÓRIO]]*tb_Auditoria[[#This Row],[VALOR CRÉDITO]]</f>
        <v>556.79999999999995</v>
      </c>
      <c r="E958" s="13">
        <v>45887</v>
      </c>
      <c r="F958" s="13" t="s">
        <v>18</v>
      </c>
      <c r="G95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5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58" s="19">
        <f>IFERROR(INDEX([1]!tb_Vendas[Crédito],MATCH(tb_Auditoria[[#This Row],[Nº CONTRATO]],[1]!tb_Vendas[Nº Contrato],0)),0)</f>
        <v>300000</v>
      </c>
      <c r="K958" s="21">
        <f>IFERROR(tb_Auditoria[[#This Row],[VALOR ESPERADO]] / tb_Auditoria[[#This Row],[VALOR CRÉDITO]], 0)</f>
        <v>0</v>
      </c>
      <c r="L958" s="19" t="e">
        <f>SUMIFS([1]!Motor_Comissão[Valor Previsto],[1]!Motor_Comissão[Chave], tb_Auditoria[[#This Row],[Nº CONTRATO]]&amp;"-"&amp;tb_Auditoria[[#This Row],[PARCELA ATUAL]])</f>
        <v>#REF!</v>
      </c>
      <c r="M958" s="19" t="e">
        <f>tb_Auditoria[[#This Row],[VALOR PAGO]] - tb_Auditoria[[#This Row],[VALOR ESPERADO]]</f>
        <v>#REF!</v>
      </c>
      <c r="N9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P7)</v>
      </c>
    </row>
    <row r="959" spans="1:15">
      <c r="A959" s="9">
        <v>1141273</v>
      </c>
      <c r="B959" s="10">
        <v>9</v>
      </c>
      <c r="C959" s="37">
        <v>1.856E-3</v>
      </c>
      <c r="D959" s="12">
        <f>tb_Auditoria[[#This Row],[% TAXA RELATÓRIO]]*tb_Auditoria[[#This Row],[VALOR CRÉDITO]]</f>
        <v>556.79999999999995</v>
      </c>
      <c r="E959" s="13">
        <v>45918</v>
      </c>
      <c r="F959" s="13" t="s">
        <v>18</v>
      </c>
      <c r="G95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5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5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59" s="19">
        <f>IFERROR(INDEX([1]!tb_Vendas[Crédito],MATCH(tb_Auditoria[[#This Row],[Nº CONTRATO]],[1]!tb_Vendas[Nº Contrato],0)),0)</f>
        <v>300000</v>
      </c>
      <c r="K959" s="21">
        <f>IFERROR(tb_Auditoria[[#This Row],[VALOR ESPERADO]] / tb_Auditoria[[#This Row],[VALOR CRÉDITO]], 0)</f>
        <v>0</v>
      </c>
      <c r="L959" s="19" t="e">
        <f>SUMIFS([1]!Motor_Comissão[Valor Previsto],[1]!Motor_Comissão[Chave], tb_Auditoria[[#This Row],[Nº CONTRATO]]&amp;"-"&amp;tb_Auditoria[[#This Row],[PARCELA ATUAL]])</f>
        <v>#REF!</v>
      </c>
      <c r="M959" s="19" t="e">
        <f>tb_Auditoria[[#This Row],[VALOR PAGO]] - tb_Auditoria[[#This Row],[VALOR ESPERADO]]</f>
        <v>#REF!</v>
      </c>
      <c r="N9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60" spans="1:15">
      <c r="A960" s="9">
        <v>1141273</v>
      </c>
      <c r="B960" s="10">
        <v>10</v>
      </c>
      <c r="C960" s="37">
        <v>1.856E-3</v>
      </c>
      <c r="D960" s="12">
        <f>tb_Auditoria[[#This Row],[% TAXA RELATÓRIO]]*tb_Auditoria[[#This Row],[VALOR CRÉDITO]]</f>
        <v>556.79999999999995</v>
      </c>
      <c r="E960" s="13">
        <v>45946</v>
      </c>
      <c r="F960" s="13" t="s">
        <v>18</v>
      </c>
      <c r="G96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6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60" s="19">
        <f>IFERROR(INDEX([1]!tb_Vendas[Crédito],MATCH(tb_Auditoria[[#This Row],[Nº CONTRATO]],[1]!tb_Vendas[Nº Contrato],0)),0)</f>
        <v>300000</v>
      </c>
      <c r="K960" s="21">
        <f>IFERROR(tb_Auditoria[[#This Row],[VALOR ESPERADO]] / tb_Auditoria[[#This Row],[VALOR CRÉDITO]], 0)</f>
        <v>0</v>
      </c>
      <c r="L960" s="19" t="e">
        <f>SUMIFS([1]!Motor_Comissão[Valor Previsto],[1]!Motor_Comissão[Chave], tb_Auditoria[[#This Row],[Nº CONTRATO]]&amp;"-"&amp;tb_Auditoria[[#This Row],[PARCELA ATUAL]])</f>
        <v>#REF!</v>
      </c>
      <c r="M960" s="19" t="e">
        <f>tb_Auditoria[[#This Row],[VALOR PAGO]] - tb_Auditoria[[#This Row],[VALOR ESPERADO]]</f>
        <v>#REF!</v>
      </c>
      <c r="N9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61" spans="1:15">
      <c r="A961" s="9">
        <v>1141273</v>
      </c>
      <c r="B961" s="10">
        <v>12</v>
      </c>
      <c r="C961" s="37">
        <v>1.25E-3</v>
      </c>
      <c r="D961" s="12">
        <f>tb_Auditoria[[#This Row],[% TAXA RELATÓRIO]]*tb_Auditoria[[#This Row],[VALOR CRÉDITO]]</f>
        <v>375</v>
      </c>
      <c r="E961" s="13">
        <v>46017</v>
      </c>
      <c r="F961" s="13" t="s">
        <v>18</v>
      </c>
      <c r="G96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6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61" s="19">
        <f>IFERROR(INDEX([1]!tb_Vendas[Crédito],MATCH(tb_Auditoria[[#This Row],[Nº CONTRATO]],[1]!tb_Vendas[Nº Contrato],0)),0)</f>
        <v>300000</v>
      </c>
      <c r="K961" s="21">
        <f>IFERROR(tb_Auditoria[[#This Row],[VALOR ESPERADO]] / tb_Auditoria[[#This Row],[VALOR CRÉDITO]], 0)</f>
        <v>0</v>
      </c>
      <c r="L961" s="19" t="e">
        <f>SUMIFS([1]!Motor_Comissão[Valor Previsto],[1]!Motor_Comissão[Chave], tb_Auditoria[[#This Row],[Nº CONTRATO]]&amp;"-"&amp;tb_Auditoria[[#This Row],[PARCELA ATUAL]])</f>
        <v>#REF!</v>
      </c>
      <c r="M961" s="19" t="e">
        <f>tb_Auditoria[[#This Row],[VALOR PAGO]] - tb_Auditoria[[#This Row],[VALOR ESPERADO]]</f>
        <v>#REF!</v>
      </c>
      <c r="N9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62" spans="1:15">
      <c r="A962" s="9">
        <v>1141273</v>
      </c>
      <c r="B962" s="10">
        <v>13</v>
      </c>
      <c r="C962" s="37">
        <v>5.0000000000000001E-3</v>
      </c>
      <c r="D962" s="12">
        <f>tb_Auditoria[[#This Row],[% TAXA RELATÓRIO]]*tb_Auditoria[[#This Row],[VALOR CRÉDITO]]</f>
        <v>1500</v>
      </c>
      <c r="E962" s="13">
        <v>46038</v>
      </c>
      <c r="F962" s="13" t="s">
        <v>19</v>
      </c>
      <c r="G96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Bruno Geovane Diniz Coelho de Araujo</v>
      </c>
      <c r="I96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62" s="19">
        <f>IFERROR(INDEX([1]!tb_Vendas[Crédito],MATCH(tb_Auditoria[[#This Row],[Nº CONTRATO]],[1]!tb_Vendas[Nº Contrato],0)),0)</f>
        <v>300000</v>
      </c>
      <c r="K962" s="21">
        <f>IFERROR(tb_Auditoria[[#This Row],[VALOR ESPERADO]] / tb_Auditoria[[#This Row],[VALOR CRÉDITO]], 0)</f>
        <v>0</v>
      </c>
      <c r="L962" s="19" t="e">
        <f>SUMIFS([1]!Motor_Comissão[Valor Previsto],[1]!Motor_Comissão[Chave], tb_Auditoria[[#This Row],[Nº CONTRATO]]&amp;"-"&amp;tb_Auditoria[[#This Row],[PARCELA ATUAL]])</f>
        <v>#REF!</v>
      </c>
      <c r="M962" s="19" t="e">
        <f>tb_Auditoria[[#This Row],[VALOR PAGO]] - tb_Auditoria[[#This Row],[VALOR ESPERADO]]</f>
        <v>#REF!</v>
      </c>
      <c r="N9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63" spans="1:15">
      <c r="A963" s="9">
        <v>1141752</v>
      </c>
      <c r="B963" s="10">
        <v>7</v>
      </c>
      <c r="C963" s="37">
        <v>1.9840000000000001E-3</v>
      </c>
      <c r="D963" s="12">
        <f>tb_Auditoria[[#This Row],[% TAXA RELATÓRIO]]*tb_Auditoria[[#This Row],[VALOR CRÉDITO]]</f>
        <v>198.4</v>
      </c>
      <c r="E963" s="13">
        <v>45856</v>
      </c>
      <c r="F963" s="13" t="s">
        <v>18</v>
      </c>
      <c r="G96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6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63" s="19">
        <f>IFERROR(INDEX([1]!tb_Vendas[Crédito],MATCH(tb_Auditoria[[#This Row],[Nº CONTRATO]],[1]!tb_Vendas[Nº Contrato],0)),0)</f>
        <v>100000</v>
      </c>
      <c r="K963" s="21">
        <f>IFERROR(tb_Auditoria[[#This Row],[VALOR ESPERADO]] / tb_Auditoria[[#This Row],[VALOR CRÉDITO]], 0)</f>
        <v>0</v>
      </c>
      <c r="L963" s="19" t="e">
        <f>SUMIFS([1]!Motor_Comissão[Valor Previsto],[1]!Motor_Comissão[Chave], tb_Auditoria[[#This Row],[Nº CONTRATO]]&amp;"-"&amp;tb_Auditoria[[#This Row],[PARCELA ATUAL]])</f>
        <v>#REF!</v>
      </c>
      <c r="M963" s="19" t="e">
        <f>tb_Auditoria[[#This Row],[VALOR PAGO]] - tb_Auditoria[[#This Row],[VALOR ESPERADO]]</f>
        <v>#REF!</v>
      </c>
      <c r="N9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P6)</v>
      </c>
    </row>
    <row r="964" spans="1:15">
      <c r="A964" s="9">
        <v>1141752</v>
      </c>
      <c r="B964" s="10">
        <v>9</v>
      </c>
      <c r="C964" s="37">
        <v>1.9840000000000001E-3</v>
      </c>
      <c r="D964" s="12">
        <f>tb_Auditoria[[#This Row],[% TAXA RELATÓRIO]]*tb_Auditoria[[#This Row],[VALOR CRÉDITO]]</f>
        <v>198.4</v>
      </c>
      <c r="E964" s="13">
        <v>45887</v>
      </c>
      <c r="F964" s="13" t="s">
        <v>18</v>
      </c>
      <c r="G96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6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64" s="19">
        <f>IFERROR(INDEX([1]!tb_Vendas[Crédito],MATCH(tb_Auditoria[[#This Row],[Nº CONTRATO]],[1]!tb_Vendas[Nº Contrato],0)),0)</f>
        <v>100000</v>
      </c>
      <c r="K964" s="21">
        <f>IFERROR(tb_Auditoria[[#This Row],[VALOR ESPERADO]] / tb_Auditoria[[#This Row],[VALOR CRÉDITO]], 0)</f>
        <v>0</v>
      </c>
      <c r="L964" s="19" t="e">
        <f>SUMIFS([1]!Motor_Comissão[Valor Previsto],[1]!Motor_Comissão[Chave], tb_Auditoria[[#This Row],[Nº CONTRATO]]&amp;"-"&amp;tb_Auditoria[[#This Row],[PARCELA ATUAL]])</f>
        <v>#REF!</v>
      </c>
      <c r="M964" s="19" t="e">
        <f>tb_Auditoria[[#This Row],[VALOR PAGO]] - tb_Auditoria[[#This Row],[VALOR ESPERADO]]</f>
        <v>#REF!</v>
      </c>
      <c r="N9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P8)</v>
      </c>
    </row>
    <row r="965" spans="1:15">
      <c r="A965" s="9">
        <v>1141752</v>
      </c>
      <c r="B965" s="10">
        <v>10</v>
      </c>
      <c r="C965" s="37">
        <v>1.9840000000000001E-3</v>
      </c>
      <c r="D965" s="12">
        <f>tb_Auditoria[[#This Row],[% TAXA RELATÓRIO]]*tb_Auditoria[[#This Row],[VALOR CRÉDITO]]</f>
        <v>198.4</v>
      </c>
      <c r="E965" s="13">
        <v>45918</v>
      </c>
      <c r="F965" s="13" t="s">
        <v>18</v>
      </c>
      <c r="G96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6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65" s="19">
        <f>IFERROR(INDEX([1]!tb_Vendas[Crédito],MATCH(tb_Auditoria[[#This Row],[Nº CONTRATO]],[1]!tb_Vendas[Nº Contrato],0)),0)</f>
        <v>100000</v>
      </c>
      <c r="K965" s="21">
        <f>IFERROR(tb_Auditoria[[#This Row],[VALOR ESPERADO]] / tb_Auditoria[[#This Row],[VALOR CRÉDITO]], 0)</f>
        <v>0</v>
      </c>
      <c r="L965" s="19" t="e">
        <f>SUMIFS([1]!Motor_Comissão[Valor Previsto],[1]!Motor_Comissão[Chave], tb_Auditoria[[#This Row],[Nº CONTRATO]]&amp;"-"&amp;tb_Auditoria[[#This Row],[PARCELA ATUAL]])</f>
        <v>#REF!</v>
      </c>
      <c r="M965" s="19" t="e">
        <f>tb_Auditoria[[#This Row],[VALOR PAGO]] - tb_Auditoria[[#This Row],[VALOR ESPERADO]]</f>
        <v>#REF!</v>
      </c>
      <c r="N9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66" spans="1:15">
      <c r="A966" s="9">
        <v>1141752</v>
      </c>
      <c r="B966" s="10">
        <v>12</v>
      </c>
      <c r="C966" s="37">
        <v>1.25E-3</v>
      </c>
      <c r="D966" s="12">
        <f>tb_Auditoria[[#This Row],[% TAXA RELATÓRIO]]*tb_Auditoria[[#This Row],[VALOR CRÉDITO]]</f>
        <v>125</v>
      </c>
      <c r="E966" s="13">
        <v>46017</v>
      </c>
      <c r="F966" s="13" t="s">
        <v>18</v>
      </c>
      <c r="G96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6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66" s="19">
        <f>IFERROR(INDEX([1]!tb_Vendas[Crédito],MATCH(tb_Auditoria[[#This Row],[Nº CONTRATO]],[1]!tb_Vendas[Nº Contrato],0)),0)</f>
        <v>100000</v>
      </c>
      <c r="K966" s="21">
        <f>IFERROR(tb_Auditoria[[#This Row],[VALOR ESPERADO]] / tb_Auditoria[[#This Row],[VALOR CRÉDITO]], 0)</f>
        <v>0</v>
      </c>
      <c r="L966" s="19" t="e">
        <f>SUMIFS([1]!Motor_Comissão[Valor Previsto],[1]!Motor_Comissão[Chave], tb_Auditoria[[#This Row],[Nº CONTRATO]]&amp;"-"&amp;tb_Auditoria[[#This Row],[PARCELA ATUAL]])</f>
        <v>#REF!</v>
      </c>
      <c r="M966" s="19" t="e">
        <f>tb_Auditoria[[#This Row],[VALOR PAGO]] - tb_Auditoria[[#This Row],[VALOR ESPERADO]]</f>
        <v>#REF!</v>
      </c>
      <c r="N9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67" spans="1:15">
      <c r="A967" s="9">
        <v>1141752</v>
      </c>
      <c r="B967" s="10">
        <v>13</v>
      </c>
      <c r="C967" s="37">
        <v>5.0000000000000001E-3</v>
      </c>
      <c r="D967" s="12">
        <f>tb_Auditoria[[#This Row],[% TAXA RELATÓRIO]]*tb_Auditoria[[#This Row],[VALOR CRÉDITO]]</f>
        <v>500</v>
      </c>
      <c r="E967" s="13">
        <v>46038</v>
      </c>
      <c r="F967" s="13" t="s">
        <v>19</v>
      </c>
      <c r="G96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6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67" s="19">
        <f>IFERROR(INDEX([1]!tb_Vendas[Crédito],MATCH(tb_Auditoria[[#This Row],[Nº CONTRATO]],[1]!tb_Vendas[Nº Contrato],0)),0)</f>
        <v>100000</v>
      </c>
      <c r="K967" s="21">
        <f>IFERROR(tb_Auditoria[[#This Row],[VALOR ESPERADO]] / tb_Auditoria[[#This Row],[VALOR CRÉDITO]], 0)</f>
        <v>0</v>
      </c>
      <c r="L967" s="19" t="e">
        <f>SUMIFS([1]!Motor_Comissão[Valor Previsto],[1]!Motor_Comissão[Chave], tb_Auditoria[[#This Row],[Nº CONTRATO]]&amp;"-"&amp;tb_Auditoria[[#This Row],[PARCELA ATUAL]])</f>
        <v>#REF!</v>
      </c>
      <c r="M967" s="19" t="e">
        <f>tb_Auditoria[[#This Row],[VALOR PAGO]] - tb_Auditoria[[#This Row],[VALOR ESPERADO]]</f>
        <v>#REF!</v>
      </c>
      <c r="N9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68" spans="1:15">
      <c r="A968" s="30">
        <v>1141752</v>
      </c>
      <c r="B968" s="25">
        <v>18</v>
      </c>
      <c r="C968" s="37">
        <v>5.0000000000000001E-3</v>
      </c>
      <c r="D968" s="32">
        <f>tb_Auditoria[[#This Row],[% TAXA RELATÓRIO]]*tb_Auditoria[[#This Row],[VALOR CRÉDITO]]</f>
        <v>500</v>
      </c>
      <c r="E968" s="29">
        <v>46161</v>
      </c>
      <c r="F968" s="13" t="s">
        <v>19</v>
      </c>
      <c r="G968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8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RSF comercio planejamento e consultoria patrimonial</v>
      </c>
      <c r="I968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N/A</v>
      </c>
      <c r="J968" s="23">
        <f>IFERROR(INDEX([1]!tb_Vendas[Crédito],MATCH(tb_Auditoria[[#This Row],[Nº CONTRATO]],[1]!tb_Vendas[Nº Contrato],0)),0)</f>
        <v>100000</v>
      </c>
      <c r="K968" s="22">
        <f>IFERROR(tb_Auditoria[[#This Row],[VALOR ESPERADO]] / tb_Auditoria[[#This Row],[VALOR CRÉDITO]], 0)</f>
        <v>0</v>
      </c>
      <c r="L968" s="23" t="e">
        <f>SUMIFS([1]!Motor_Comissão[Valor Previsto],[1]!Motor_Comissão[Chave], tb_Auditoria[[#This Row],[Nº CONTRATO]]&amp;"-"&amp;tb_Auditoria[[#This Row],[PARCELA ATUAL]])</f>
        <v>#REF!</v>
      </c>
      <c r="M968" s="23" t="e">
        <f>tb_Auditoria[[#This Row],[VALOR PAGO]] - tb_Auditoria[[#This Row],[VALOR ESPERADO]]</f>
        <v>#REF!</v>
      </c>
      <c r="N968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8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P17)</v>
      </c>
    </row>
    <row r="969" spans="1:15">
      <c r="A969" s="9">
        <v>1148537</v>
      </c>
      <c r="B969" s="10">
        <v>1</v>
      </c>
      <c r="C969" s="37">
        <v>5.1200000000000004E-3</v>
      </c>
      <c r="D969" s="12">
        <f>tb_Auditoria[[#This Row],[% TAXA RELATÓRIO]]*tb_Auditoria[[#This Row],[VALOR CRÉDITO]]</f>
        <v>2048</v>
      </c>
      <c r="E969" s="13">
        <v>45856</v>
      </c>
      <c r="F969" s="13" t="s">
        <v>18</v>
      </c>
      <c r="G96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6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6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69" s="19">
        <f>IFERROR(INDEX([1]!tb_Vendas[Crédito],MATCH(tb_Auditoria[[#This Row],[Nº CONTRATO]],[1]!tb_Vendas[Nº Contrato],0)),0)</f>
        <v>400000</v>
      </c>
      <c r="K969" s="21">
        <f>IFERROR(tb_Auditoria[[#This Row],[VALOR ESPERADO]] / tb_Auditoria[[#This Row],[VALOR CRÉDITO]], 0)</f>
        <v>0</v>
      </c>
      <c r="L969" s="19" t="e">
        <f>SUMIFS([1]!Motor_Comissão[Valor Previsto],[1]!Motor_Comissão[Chave], tb_Auditoria[[#This Row],[Nº CONTRATO]]&amp;"-"&amp;tb_Auditoria[[#This Row],[PARCELA ATUAL]])</f>
        <v>#REF!</v>
      </c>
      <c r="M969" s="19" t="e">
        <f>tb_Auditoria[[#This Row],[VALOR PAGO]] - tb_Auditoria[[#This Row],[VALOR ESPERADO]]</f>
        <v>#REF!</v>
      </c>
      <c r="N9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0" spans="1:15">
      <c r="A970" s="9">
        <v>1148537</v>
      </c>
      <c r="B970" s="10">
        <v>2</v>
      </c>
      <c r="C970" s="37">
        <v>5.1200000000000004E-3</v>
      </c>
      <c r="D970" s="12">
        <f>tb_Auditoria[[#This Row],[% TAXA RELATÓRIO]]*tb_Auditoria[[#This Row],[VALOR CRÉDITO]]</f>
        <v>2048</v>
      </c>
      <c r="E970" s="13">
        <v>45887</v>
      </c>
      <c r="F970" s="13" t="s">
        <v>18</v>
      </c>
      <c r="G97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7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70" s="19">
        <f>IFERROR(INDEX([1]!tb_Vendas[Crédito],MATCH(tb_Auditoria[[#This Row],[Nº CONTRATO]],[1]!tb_Vendas[Nº Contrato],0)),0)</f>
        <v>400000</v>
      </c>
      <c r="K970" s="21">
        <f>IFERROR(tb_Auditoria[[#This Row],[VALOR ESPERADO]] / tb_Auditoria[[#This Row],[VALOR CRÉDITO]], 0)</f>
        <v>0</v>
      </c>
      <c r="L970" s="19" t="e">
        <f>SUMIFS([1]!Motor_Comissão[Valor Previsto],[1]!Motor_Comissão[Chave], tb_Auditoria[[#This Row],[Nº CONTRATO]]&amp;"-"&amp;tb_Auditoria[[#This Row],[PARCELA ATUAL]])</f>
        <v>#REF!</v>
      </c>
      <c r="M970" s="19" t="e">
        <f>tb_Auditoria[[#This Row],[VALOR PAGO]] - tb_Auditoria[[#This Row],[VALOR ESPERADO]]</f>
        <v>#REF!</v>
      </c>
      <c r="N9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1" spans="1:15">
      <c r="A971" s="9">
        <v>1148537</v>
      </c>
      <c r="B971" s="10">
        <v>3</v>
      </c>
      <c r="C971" s="37">
        <v>5.1200000000000004E-3</v>
      </c>
      <c r="D971" s="12">
        <f>tb_Auditoria[[#This Row],[% TAXA RELATÓRIO]]*tb_Auditoria[[#This Row],[VALOR CRÉDITO]]</f>
        <v>2048</v>
      </c>
      <c r="E971" s="13">
        <v>45918</v>
      </c>
      <c r="F971" s="13" t="s">
        <v>18</v>
      </c>
      <c r="G97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7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71" s="19">
        <f>IFERROR(INDEX([1]!tb_Vendas[Crédito],MATCH(tb_Auditoria[[#This Row],[Nº CONTRATO]],[1]!tb_Vendas[Nº Contrato],0)),0)</f>
        <v>400000</v>
      </c>
      <c r="K971" s="21">
        <f>IFERROR(tb_Auditoria[[#This Row],[VALOR ESPERADO]] / tb_Auditoria[[#This Row],[VALOR CRÉDITO]], 0)</f>
        <v>0</v>
      </c>
      <c r="L971" s="19" t="e">
        <f>SUMIFS([1]!Motor_Comissão[Valor Previsto],[1]!Motor_Comissão[Chave], tb_Auditoria[[#This Row],[Nº CONTRATO]]&amp;"-"&amp;tb_Auditoria[[#This Row],[PARCELA ATUAL]])</f>
        <v>#REF!</v>
      </c>
      <c r="M971" s="19" t="e">
        <f>tb_Auditoria[[#This Row],[VALOR PAGO]] - tb_Auditoria[[#This Row],[VALOR ESPERADO]]</f>
        <v>#REF!</v>
      </c>
      <c r="N9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2" spans="1:15">
      <c r="A972" s="9">
        <v>1148537</v>
      </c>
      <c r="B972" s="10">
        <v>4</v>
      </c>
      <c r="C972" s="37">
        <v>5.1200000000000004E-3</v>
      </c>
      <c r="D972" s="12">
        <f>tb_Auditoria[[#This Row],[% TAXA RELATÓRIO]]*tb_Auditoria[[#This Row],[VALOR CRÉDITO]]</f>
        <v>2048</v>
      </c>
      <c r="E972" s="13">
        <v>45946</v>
      </c>
      <c r="F972" s="13" t="s">
        <v>18</v>
      </c>
      <c r="G97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7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72" s="19">
        <f>IFERROR(INDEX([1]!tb_Vendas[Crédito],MATCH(tb_Auditoria[[#This Row],[Nº CONTRATO]],[1]!tb_Vendas[Nº Contrato],0)),0)</f>
        <v>400000</v>
      </c>
      <c r="K972" s="21">
        <f>IFERROR(tb_Auditoria[[#This Row],[VALOR ESPERADO]] / tb_Auditoria[[#This Row],[VALOR CRÉDITO]], 0)</f>
        <v>0</v>
      </c>
      <c r="L972" s="19" t="e">
        <f>SUMIFS([1]!Motor_Comissão[Valor Previsto],[1]!Motor_Comissão[Chave], tb_Auditoria[[#This Row],[Nº CONTRATO]]&amp;"-"&amp;tb_Auditoria[[#This Row],[PARCELA ATUAL]])</f>
        <v>#REF!</v>
      </c>
      <c r="M972" s="19" t="e">
        <f>tb_Auditoria[[#This Row],[VALOR PAGO]] - tb_Auditoria[[#This Row],[VALOR ESPERADO]]</f>
        <v>#REF!</v>
      </c>
      <c r="N9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3" spans="1:15">
      <c r="A973" s="9">
        <v>1148537</v>
      </c>
      <c r="B973" s="10">
        <v>5</v>
      </c>
      <c r="C973" s="37">
        <v>5.1200000000000004E-3</v>
      </c>
      <c r="D973" s="12">
        <f>tb_Auditoria[[#This Row],[% TAXA RELATÓRIO]]*tb_Auditoria[[#This Row],[VALOR CRÉDITO]]</f>
        <v>2048</v>
      </c>
      <c r="E973" s="13">
        <v>45980</v>
      </c>
      <c r="F973" s="13" t="s">
        <v>18</v>
      </c>
      <c r="G97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7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73" s="19">
        <f>IFERROR(INDEX([1]!tb_Vendas[Crédito],MATCH(tb_Auditoria[[#This Row],[Nº CONTRATO]],[1]!tb_Vendas[Nº Contrato],0)),0)</f>
        <v>400000</v>
      </c>
      <c r="K973" s="21">
        <f>IFERROR(tb_Auditoria[[#This Row],[VALOR ESPERADO]] / tb_Auditoria[[#This Row],[VALOR CRÉDITO]], 0)</f>
        <v>0</v>
      </c>
      <c r="L973" s="19" t="e">
        <f>SUMIFS([1]!Motor_Comissão[Valor Previsto],[1]!Motor_Comissão[Chave], tb_Auditoria[[#This Row],[Nº CONTRATO]]&amp;"-"&amp;tb_Auditoria[[#This Row],[PARCELA ATUAL]])</f>
        <v>#REF!</v>
      </c>
      <c r="M973" s="19" t="e">
        <f>tb_Auditoria[[#This Row],[VALOR PAGO]] - tb_Auditoria[[#This Row],[VALOR ESPERADO]]</f>
        <v>#REF!</v>
      </c>
      <c r="N9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4" spans="1:15">
      <c r="A974" s="9">
        <v>1148537</v>
      </c>
      <c r="B974" s="10">
        <v>6</v>
      </c>
      <c r="C974" s="37">
        <v>5.1200000000000004E-3</v>
      </c>
      <c r="D974" s="12">
        <f>tb_Auditoria[[#This Row],[% TAXA RELATÓRIO]]*tb_Auditoria[[#This Row],[VALOR CRÉDITO]]</f>
        <v>2048</v>
      </c>
      <c r="E974" s="13">
        <v>46008</v>
      </c>
      <c r="F974" s="13" t="s">
        <v>18</v>
      </c>
      <c r="G97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7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74" s="19">
        <f>IFERROR(INDEX([1]!tb_Vendas[Crédito],MATCH(tb_Auditoria[[#This Row],[Nº CONTRATO]],[1]!tb_Vendas[Nº Contrato],0)),0)</f>
        <v>400000</v>
      </c>
      <c r="K974" s="21">
        <f>IFERROR(tb_Auditoria[[#This Row],[VALOR ESPERADO]] / tb_Auditoria[[#This Row],[VALOR CRÉDITO]], 0)</f>
        <v>0</v>
      </c>
      <c r="L974" s="19" t="e">
        <f>SUMIFS([1]!Motor_Comissão[Valor Previsto],[1]!Motor_Comissão[Chave], tb_Auditoria[[#This Row],[Nº CONTRATO]]&amp;"-"&amp;tb_Auditoria[[#This Row],[PARCELA ATUAL]])</f>
        <v>#REF!</v>
      </c>
      <c r="M974" s="19" t="e">
        <f>tb_Auditoria[[#This Row],[VALOR PAGO]] - tb_Auditoria[[#This Row],[VALOR ESPERADO]]</f>
        <v>#REF!</v>
      </c>
      <c r="N9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5" spans="1:15">
      <c r="A975" s="9">
        <v>1148537</v>
      </c>
      <c r="B975" s="10">
        <v>7</v>
      </c>
      <c r="C975" s="37">
        <v>2.32E-3</v>
      </c>
      <c r="D975" s="12">
        <f>tb_Auditoria[[#This Row],[% TAXA RELATÓRIO]]*tb_Auditoria[[#This Row],[VALOR CRÉDITO]]</f>
        <v>928</v>
      </c>
      <c r="E975" s="13">
        <v>46038</v>
      </c>
      <c r="F975" s="13" t="s">
        <v>18</v>
      </c>
      <c r="G97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7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75" s="19">
        <f>IFERROR(INDEX([1]!tb_Vendas[Crédito],MATCH(tb_Auditoria[[#This Row],[Nº CONTRATO]],[1]!tb_Vendas[Nº Contrato],0)),0)</f>
        <v>400000</v>
      </c>
      <c r="K975" s="21">
        <f>IFERROR(tb_Auditoria[[#This Row],[VALOR ESPERADO]] / tb_Auditoria[[#This Row],[VALOR CRÉDITO]], 0)</f>
        <v>0</v>
      </c>
      <c r="L975" s="19" t="e">
        <f>SUMIFS([1]!Motor_Comissão[Valor Previsto],[1]!Motor_Comissão[Chave], tb_Auditoria[[#This Row],[Nº CONTRATO]]&amp;"-"&amp;tb_Auditoria[[#This Row],[PARCELA ATUAL]])</f>
        <v>#REF!</v>
      </c>
      <c r="M975" s="19" t="e">
        <f>tb_Auditoria[[#This Row],[VALOR PAGO]] - tb_Auditoria[[#This Row],[VALOR ESPERADO]]</f>
        <v>#REF!</v>
      </c>
      <c r="N9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6" spans="1:15">
      <c r="A976" s="9">
        <v>1148537</v>
      </c>
      <c r="B976" s="10">
        <v>8</v>
      </c>
      <c r="C976" s="37">
        <v>2.32E-3</v>
      </c>
      <c r="D976" s="12">
        <f>tb_Auditoria[[#This Row],[% TAXA RELATÓRIO]]*tb_Auditoria[[#This Row],[VALOR CRÉDITO]]</f>
        <v>928</v>
      </c>
      <c r="E976" s="13">
        <v>46072</v>
      </c>
      <c r="F976" s="13" t="s">
        <v>18</v>
      </c>
      <c r="G97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7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76" s="19">
        <f>IFERROR(INDEX([1]!tb_Vendas[Crédito],MATCH(tb_Auditoria[[#This Row],[Nº CONTRATO]],[1]!tb_Vendas[Nº Contrato],0)),0)</f>
        <v>400000</v>
      </c>
      <c r="K976" s="21">
        <f>IFERROR(tb_Auditoria[[#This Row],[VALOR ESPERADO]] / tb_Auditoria[[#This Row],[VALOR CRÉDITO]], 0)</f>
        <v>0</v>
      </c>
      <c r="L976" s="19" t="e">
        <f>SUMIFS([1]!Motor_Comissão[Valor Previsto],[1]!Motor_Comissão[Chave], tb_Auditoria[[#This Row],[Nº CONTRATO]]&amp;"-"&amp;tb_Auditoria[[#This Row],[PARCELA ATUAL]])</f>
        <v>#REF!</v>
      </c>
      <c r="M976" s="19" t="e">
        <f>tb_Auditoria[[#This Row],[VALOR PAGO]] - tb_Auditoria[[#This Row],[VALOR ESPERADO]]</f>
        <v>#REF!</v>
      </c>
      <c r="N9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7" spans="1:15">
      <c r="A977" s="9">
        <v>1148537</v>
      </c>
      <c r="B977" s="10">
        <v>9</v>
      </c>
      <c r="C977" s="37">
        <v>2.32E-3</v>
      </c>
      <c r="D977" s="12">
        <f>tb_Auditoria[[#This Row],[% TAXA RELATÓRIO]]*tb_Auditoria[[#This Row],[VALOR CRÉDITO]]</f>
        <v>928</v>
      </c>
      <c r="E977" s="13">
        <v>46100</v>
      </c>
      <c r="F977" s="13" t="s">
        <v>18</v>
      </c>
      <c r="G97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7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77" s="19">
        <f>IFERROR(INDEX([1]!tb_Vendas[Crédito],MATCH(tb_Auditoria[[#This Row],[Nº CONTRATO]],[1]!tb_Vendas[Nº Contrato],0)),0)</f>
        <v>400000</v>
      </c>
      <c r="K977" s="21">
        <f>IFERROR(tb_Auditoria[[#This Row],[VALOR ESPERADO]] / tb_Auditoria[[#This Row],[VALOR CRÉDITO]], 0)</f>
        <v>0</v>
      </c>
      <c r="L977" s="19" t="e">
        <f>SUMIFS([1]!Motor_Comissão[Valor Previsto],[1]!Motor_Comissão[Chave], tb_Auditoria[[#This Row],[Nº CONTRATO]]&amp;"-"&amp;tb_Auditoria[[#This Row],[PARCELA ATUAL]])</f>
        <v>#REF!</v>
      </c>
      <c r="M977" s="19" t="e">
        <f>tb_Auditoria[[#This Row],[VALOR PAGO]] - tb_Auditoria[[#This Row],[VALOR ESPERADO]]</f>
        <v>#REF!</v>
      </c>
      <c r="N9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8" spans="1:15">
      <c r="A978" s="9">
        <v>1148537</v>
      </c>
      <c r="B978" s="10">
        <v>10</v>
      </c>
      <c r="C978" s="37">
        <v>2.32E-3</v>
      </c>
      <c r="D978" s="12">
        <f>tb_Auditoria[[#This Row],[% TAXA RELATÓRIO]]*tb_Auditoria[[#This Row],[VALOR CRÉDITO]]</f>
        <v>928</v>
      </c>
      <c r="E978" s="13">
        <v>46129</v>
      </c>
      <c r="F978" s="13" t="s">
        <v>18</v>
      </c>
      <c r="G97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7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78" s="19">
        <f>IFERROR(INDEX([1]!tb_Vendas[Crédito],MATCH(tb_Auditoria[[#This Row],[Nº CONTRATO]],[1]!tb_Vendas[Nº Contrato],0)),0)</f>
        <v>400000</v>
      </c>
      <c r="K978" s="21">
        <f>IFERROR(tb_Auditoria[[#This Row],[VALOR ESPERADO]] / tb_Auditoria[[#This Row],[VALOR CRÉDITO]], 0)</f>
        <v>0</v>
      </c>
      <c r="L978" s="19" t="e">
        <f>SUMIFS([1]!Motor_Comissão[Valor Previsto],[1]!Motor_Comissão[Chave], tb_Auditoria[[#This Row],[Nº CONTRATO]]&amp;"-"&amp;tb_Auditoria[[#This Row],[PARCELA ATUAL]])</f>
        <v>#REF!</v>
      </c>
      <c r="M978" s="19" t="e">
        <f>tb_Auditoria[[#This Row],[VALOR PAGO]] - tb_Auditoria[[#This Row],[VALOR ESPERADO]]</f>
        <v>#REF!</v>
      </c>
      <c r="N9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79" spans="1:15">
      <c r="A979" s="9">
        <v>1148538</v>
      </c>
      <c r="B979" s="10">
        <v>1</v>
      </c>
      <c r="C979" s="37">
        <v>5.1200000000000004E-3</v>
      </c>
      <c r="D979" s="12">
        <f>tb_Auditoria[[#This Row],[% TAXA RELATÓRIO]]*tb_Auditoria[[#This Row],[VALOR CRÉDITO]]</f>
        <v>2048</v>
      </c>
      <c r="E979" s="13">
        <v>45856</v>
      </c>
      <c r="F979" s="13" t="s">
        <v>18</v>
      </c>
      <c r="G97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7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7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79" s="19">
        <f>IFERROR(INDEX([1]!tb_Vendas[Crédito],MATCH(tb_Auditoria[[#This Row],[Nº CONTRATO]],[1]!tb_Vendas[Nº Contrato],0)),0)</f>
        <v>400000</v>
      </c>
      <c r="K979" s="21">
        <f>IFERROR(tb_Auditoria[[#This Row],[VALOR ESPERADO]] / tb_Auditoria[[#This Row],[VALOR CRÉDITO]], 0)</f>
        <v>0</v>
      </c>
      <c r="L979" s="19" t="e">
        <f>SUMIFS([1]!Motor_Comissão[Valor Previsto],[1]!Motor_Comissão[Chave], tb_Auditoria[[#This Row],[Nº CONTRATO]]&amp;"-"&amp;tb_Auditoria[[#This Row],[PARCELA ATUAL]])</f>
        <v>#REF!</v>
      </c>
      <c r="M979" s="19" t="e">
        <f>tb_Auditoria[[#This Row],[VALOR PAGO]] - tb_Auditoria[[#This Row],[VALOR ESPERADO]]</f>
        <v>#REF!</v>
      </c>
      <c r="N9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0" spans="1:15">
      <c r="A980" s="9">
        <v>1148538</v>
      </c>
      <c r="B980" s="10">
        <v>2</v>
      </c>
      <c r="C980" s="37">
        <v>5.1200000000000004E-3</v>
      </c>
      <c r="D980" s="12">
        <f>tb_Auditoria[[#This Row],[% TAXA RELATÓRIO]]*tb_Auditoria[[#This Row],[VALOR CRÉDITO]]</f>
        <v>2048</v>
      </c>
      <c r="E980" s="13">
        <v>45887</v>
      </c>
      <c r="F980" s="13" t="s">
        <v>18</v>
      </c>
      <c r="G98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8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80" s="19">
        <f>IFERROR(INDEX([1]!tb_Vendas[Crédito],MATCH(tb_Auditoria[[#This Row],[Nº CONTRATO]],[1]!tb_Vendas[Nº Contrato],0)),0)</f>
        <v>400000</v>
      </c>
      <c r="K980" s="21">
        <f>IFERROR(tb_Auditoria[[#This Row],[VALOR ESPERADO]] / tb_Auditoria[[#This Row],[VALOR CRÉDITO]], 0)</f>
        <v>0</v>
      </c>
      <c r="L980" s="19" t="e">
        <f>SUMIFS([1]!Motor_Comissão[Valor Previsto],[1]!Motor_Comissão[Chave], tb_Auditoria[[#This Row],[Nº CONTRATO]]&amp;"-"&amp;tb_Auditoria[[#This Row],[PARCELA ATUAL]])</f>
        <v>#REF!</v>
      </c>
      <c r="M980" s="19" t="e">
        <f>tb_Auditoria[[#This Row],[VALOR PAGO]] - tb_Auditoria[[#This Row],[VALOR ESPERADO]]</f>
        <v>#REF!</v>
      </c>
      <c r="N9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1" spans="1:15">
      <c r="A981" s="9">
        <v>1148538</v>
      </c>
      <c r="B981" s="10">
        <v>3</v>
      </c>
      <c r="C981" s="37">
        <v>5.1200000000000004E-3</v>
      </c>
      <c r="D981" s="12">
        <f>tb_Auditoria[[#This Row],[% TAXA RELATÓRIO]]*tb_Auditoria[[#This Row],[VALOR CRÉDITO]]</f>
        <v>2048</v>
      </c>
      <c r="E981" s="13">
        <v>45918</v>
      </c>
      <c r="F981" s="13" t="s">
        <v>18</v>
      </c>
      <c r="G98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8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81" s="19">
        <f>IFERROR(INDEX([1]!tb_Vendas[Crédito],MATCH(tb_Auditoria[[#This Row],[Nº CONTRATO]],[1]!tb_Vendas[Nº Contrato],0)),0)</f>
        <v>400000</v>
      </c>
      <c r="K981" s="21">
        <f>IFERROR(tb_Auditoria[[#This Row],[VALOR ESPERADO]] / tb_Auditoria[[#This Row],[VALOR CRÉDITO]], 0)</f>
        <v>0</v>
      </c>
      <c r="L981" s="19" t="e">
        <f>SUMIFS([1]!Motor_Comissão[Valor Previsto],[1]!Motor_Comissão[Chave], tb_Auditoria[[#This Row],[Nº CONTRATO]]&amp;"-"&amp;tb_Auditoria[[#This Row],[PARCELA ATUAL]])</f>
        <v>#REF!</v>
      </c>
      <c r="M981" s="19" t="e">
        <f>tb_Auditoria[[#This Row],[VALOR PAGO]] - tb_Auditoria[[#This Row],[VALOR ESPERADO]]</f>
        <v>#REF!</v>
      </c>
      <c r="N9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2" spans="1:15">
      <c r="A982" s="30">
        <v>1148538</v>
      </c>
      <c r="B982" s="25">
        <v>4</v>
      </c>
      <c r="C982" s="37">
        <v>5.1200000000000004E-3</v>
      </c>
      <c r="D982" s="32">
        <f>tb_Auditoria[[#This Row],[% TAXA RELATÓRIO]]*tb_Auditoria[[#This Row],[VALOR CRÉDITO]]</f>
        <v>2048</v>
      </c>
      <c r="E982" s="29">
        <v>45946</v>
      </c>
      <c r="F982" s="13" t="s">
        <v>18</v>
      </c>
      <c r="G982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2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82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82" s="23">
        <f>IFERROR(INDEX([1]!tb_Vendas[Crédito],MATCH(tb_Auditoria[[#This Row],[Nº CONTRATO]],[1]!tb_Vendas[Nº Contrato],0)),0)</f>
        <v>400000</v>
      </c>
      <c r="K982" s="22">
        <f>IFERROR(tb_Auditoria[[#This Row],[VALOR ESPERADO]] / tb_Auditoria[[#This Row],[VALOR CRÉDITO]], 0)</f>
        <v>0</v>
      </c>
      <c r="L982" s="23" t="e">
        <f>SUMIFS([1]!Motor_Comissão[Valor Previsto],[1]!Motor_Comissão[Chave], tb_Auditoria[[#This Row],[Nº CONTRATO]]&amp;"-"&amp;tb_Auditoria[[#This Row],[PARCELA ATUAL]])</f>
        <v>#REF!</v>
      </c>
      <c r="M982" s="23" t="e">
        <f>tb_Auditoria[[#This Row],[VALOR PAGO]] - tb_Auditoria[[#This Row],[VALOR ESPERADO]]</f>
        <v>#REF!</v>
      </c>
      <c r="N982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2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3" spans="1:15">
      <c r="A983" s="30">
        <v>1148538</v>
      </c>
      <c r="B983" s="25">
        <v>5</v>
      </c>
      <c r="C983" s="40">
        <v>5.1200000000000004E-3</v>
      </c>
      <c r="D983" s="32">
        <f>tb_Auditoria[[#This Row],[% TAXA RELATÓRIO]]*tb_Auditoria[[#This Row],[VALOR CRÉDITO]]</f>
        <v>2048</v>
      </c>
      <c r="E983" s="29">
        <v>45980</v>
      </c>
      <c r="F983" s="29" t="s">
        <v>18</v>
      </c>
      <c r="G983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3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83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83" s="23">
        <f>IFERROR(INDEX([1]!tb_Vendas[Crédito],MATCH(tb_Auditoria[[#This Row],[Nº CONTRATO]],[1]!tb_Vendas[Nº Contrato],0)),0)</f>
        <v>400000</v>
      </c>
      <c r="K983" s="22">
        <f>IFERROR(tb_Auditoria[[#This Row],[VALOR ESPERADO]] / tb_Auditoria[[#This Row],[VALOR CRÉDITO]], 0)</f>
        <v>0</v>
      </c>
      <c r="L983" s="23" t="e">
        <f>SUMIFS([1]!Motor_Comissão[Valor Previsto],[1]!Motor_Comissão[Chave], tb_Auditoria[[#This Row],[Nº CONTRATO]]&amp;"-"&amp;tb_Auditoria[[#This Row],[PARCELA ATUAL]])</f>
        <v>#REF!</v>
      </c>
      <c r="M983" s="23" t="e">
        <f>tb_Auditoria[[#This Row],[VALOR PAGO]] - tb_Auditoria[[#This Row],[VALOR ESPERADO]]</f>
        <v>#REF!</v>
      </c>
      <c r="N983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3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4" spans="1:15">
      <c r="A984" s="9">
        <v>1148538</v>
      </c>
      <c r="B984" s="10">
        <v>6</v>
      </c>
      <c r="C984" s="40">
        <v>5.1200000000000004E-3</v>
      </c>
      <c r="D984" s="12">
        <f>tb_Auditoria[[#This Row],[% TAXA RELATÓRIO]]*tb_Auditoria[[#This Row],[VALOR CRÉDITO]]</f>
        <v>2048</v>
      </c>
      <c r="E984" s="13">
        <v>46008</v>
      </c>
      <c r="F984" s="13" t="s">
        <v>18</v>
      </c>
      <c r="G98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8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84" s="19">
        <f>IFERROR(INDEX([1]!tb_Vendas[Crédito],MATCH(tb_Auditoria[[#This Row],[Nº CONTRATO]],[1]!tb_Vendas[Nº Contrato],0)),0)</f>
        <v>400000</v>
      </c>
      <c r="K984" s="21">
        <f>IFERROR(tb_Auditoria[[#This Row],[VALOR ESPERADO]] / tb_Auditoria[[#This Row],[VALOR CRÉDITO]], 0)</f>
        <v>0</v>
      </c>
      <c r="L984" s="19" t="e">
        <f>SUMIFS([1]!Motor_Comissão[Valor Previsto],[1]!Motor_Comissão[Chave], tb_Auditoria[[#This Row],[Nº CONTRATO]]&amp;"-"&amp;tb_Auditoria[[#This Row],[PARCELA ATUAL]])</f>
        <v>#REF!</v>
      </c>
      <c r="M984" s="19" t="e">
        <f>tb_Auditoria[[#This Row],[VALOR PAGO]] - tb_Auditoria[[#This Row],[VALOR ESPERADO]]</f>
        <v>#REF!</v>
      </c>
      <c r="N9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5" spans="1:15">
      <c r="A985" s="30">
        <v>1148538</v>
      </c>
      <c r="B985" s="25">
        <v>7</v>
      </c>
      <c r="C985" s="40">
        <v>2.32E-3</v>
      </c>
      <c r="D985" s="32">
        <f>tb_Auditoria[[#This Row],[% TAXA RELATÓRIO]]*tb_Auditoria[[#This Row],[VALOR CRÉDITO]]</f>
        <v>928</v>
      </c>
      <c r="E985" s="29">
        <v>46038</v>
      </c>
      <c r="F985" s="29" t="s">
        <v>18</v>
      </c>
      <c r="G985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5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85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85" s="23">
        <f>IFERROR(INDEX([1]!tb_Vendas[Crédito],MATCH(tb_Auditoria[[#This Row],[Nº CONTRATO]],[1]!tb_Vendas[Nº Contrato],0)),0)</f>
        <v>400000</v>
      </c>
      <c r="K985" s="22">
        <f>IFERROR(tb_Auditoria[[#This Row],[VALOR ESPERADO]] / tb_Auditoria[[#This Row],[VALOR CRÉDITO]], 0)</f>
        <v>0</v>
      </c>
      <c r="L985" s="23" t="e">
        <f>SUMIFS([1]!Motor_Comissão[Valor Previsto],[1]!Motor_Comissão[Chave], tb_Auditoria[[#This Row],[Nº CONTRATO]]&amp;"-"&amp;tb_Auditoria[[#This Row],[PARCELA ATUAL]])</f>
        <v>#REF!</v>
      </c>
      <c r="M985" s="23" t="e">
        <f>tb_Auditoria[[#This Row],[VALOR PAGO]] - tb_Auditoria[[#This Row],[VALOR ESPERADO]]</f>
        <v>#REF!</v>
      </c>
      <c r="N985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5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6" spans="1:15">
      <c r="A986" s="9">
        <v>1148538</v>
      </c>
      <c r="B986" s="10">
        <v>8</v>
      </c>
      <c r="C986" s="37">
        <v>2.32E-3</v>
      </c>
      <c r="D986" s="12">
        <f>tb_Auditoria[[#This Row],[% TAXA RELATÓRIO]]*tb_Auditoria[[#This Row],[VALOR CRÉDITO]]</f>
        <v>928</v>
      </c>
      <c r="E986" s="13">
        <v>46072</v>
      </c>
      <c r="F986" s="13" t="s">
        <v>18</v>
      </c>
      <c r="G98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8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86" s="19">
        <f>IFERROR(INDEX([1]!tb_Vendas[Crédito],MATCH(tb_Auditoria[[#This Row],[Nº CONTRATO]],[1]!tb_Vendas[Nº Contrato],0)),0)</f>
        <v>400000</v>
      </c>
      <c r="K986" s="21">
        <f>IFERROR(tb_Auditoria[[#This Row],[VALOR ESPERADO]] / tb_Auditoria[[#This Row],[VALOR CRÉDITO]], 0)</f>
        <v>0</v>
      </c>
      <c r="L986" s="19" t="e">
        <f>SUMIFS([1]!Motor_Comissão[Valor Previsto],[1]!Motor_Comissão[Chave], tb_Auditoria[[#This Row],[Nº CONTRATO]]&amp;"-"&amp;tb_Auditoria[[#This Row],[PARCELA ATUAL]])</f>
        <v>#REF!</v>
      </c>
      <c r="M986" s="19" t="e">
        <f>tb_Auditoria[[#This Row],[VALOR PAGO]] - tb_Auditoria[[#This Row],[VALOR ESPERADO]]</f>
        <v>#REF!</v>
      </c>
      <c r="N9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7" spans="1:15">
      <c r="A987" s="9">
        <v>1148538</v>
      </c>
      <c r="B987" s="10">
        <v>9</v>
      </c>
      <c r="C987" s="37">
        <v>2.32E-3</v>
      </c>
      <c r="D987" s="12">
        <f>tb_Auditoria[[#This Row],[% TAXA RELATÓRIO]]*tb_Auditoria[[#This Row],[VALOR CRÉDITO]]</f>
        <v>928</v>
      </c>
      <c r="E987" s="13">
        <v>46100</v>
      </c>
      <c r="F987" s="13" t="s">
        <v>18</v>
      </c>
      <c r="G98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8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87" s="19">
        <f>IFERROR(INDEX([1]!tb_Vendas[Crédito],MATCH(tb_Auditoria[[#This Row],[Nº CONTRATO]],[1]!tb_Vendas[Nº Contrato],0)),0)</f>
        <v>400000</v>
      </c>
      <c r="K987" s="21">
        <f>IFERROR(tb_Auditoria[[#This Row],[VALOR ESPERADO]] / tb_Auditoria[[#This Row],[VALOR CRÉDITO]], 0)</f>
        <v>0</v>
      </c>
      <c r="L987" s="19" t="e">
        <f>SUMIFS([1]!Motor_Comissão[Valor Previsto],[1]!Motor_Comissão[Chave], tb_Auditoria[[#This Row],[Nº CONTRATO]]&amp;"-"&amp;tb_Auditoria[[#This Row],[PARCELA ATUAL]])</f>
        <v>#REF!</v>
      </c>
      <c r="M987" s="19" t="e">
        <f>tb_Auditoria[[#This Row],[VALOR PAGO]] - tb_Auditoria[[#This Row],[VALOR ESPERADO]]</f>
        <v>#REF!</v>
      </c>
      <c r="N9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8" spans="1:15">
      <c r="A988" s="9">
        <v>1148538</v>
      </c>
      <c r="B988" s="10">
        <v>10</v>
      </c>
      <c r="C988" s="37">
        <v>2.32E-3</v>
      </c>
      <c r="D988" s="12">
        <f>tb_Auditoria[[#This Row],[% TAXA RELATÓRIO]]*tb_Auditoria[[#This Row],[VALOR CRÉDITO]]</f>
        <v>928</v>
      </c>
      <c r="E988" s="13">
        <v>46129</v>
      </c>
      <c r="F988" s="13" t="s">
        <v>18</v>
      </c>
      <c r="G98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Carlos Weber Rocha Junior</v>
      </c>
      <c r="I98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88" s="19">
        <f>IFERROR(INDEX([1]!tb_Vendas[Crédito],MATCH(tb_Auditoria[[#This Row],[Nº CONTRATO]],[1]!tb_Vendas[Nº Contrato],0)),0)</f>
        <v>400000</v>
      </c>
      <c r="K988" s="21">
        <f>IFERROR(tb_Auditoria[[#This Row],[VALOR ESPERADO]] / tb_Auditoria[[#This Row],[VALOR CRÉDITO]], 0)</f>
        <v>0</v>
      </c>
      <c r="L988" s="19" t="e">
        <f>SUMIFS([1]!Motor_Comissão[Valor Previsto],[1]!Motor_Comissão[Chave], tb_Auditoria[[#This Row],[Nº CONTRATO]]&amp;"-"&amp;tb_Auditoria[[#This Row],[PARCELA ATUAL]])</f>
        <v>#REF!</v>
      </c>
      <c r="M988" s="19" t="e">
        <f>tb_Auditoria[[#This Row],[VALOR PAGO]] - tb_Auditoria[[#This Row],[VALOR ESPERADO]]</f>
        <v>#REF!</v>
      </c>
      <c r="N9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89" spans="1:15">
      <c r="A989" s="9">
        <v>1148541</v>
      </c>
      <c r="B989" s="10">
        <v>1</v>
      </c>
      <c r="C989" s="37">
        <v>5.1200000000000004E-3</v>
      </c>
      <c r="D989" s="12">
        <f>tb_Auditoria[[#This Row],[% TAXA RELATÓRIO]]*tb_Auditoria[[#This Row],[VALOR CRÉDITO]]</f>
        <v>2048</v>
      </c>
      <c r="E989" s="13">
        <v>45856</v>
      </c>
      <c r="F989" s="13" t="s">
        <v>18</v>
      </c>
      <c r="G98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8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8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89" s="19">
        <f>IFERROR(INDEX([1]!tb_Vendas[Crédito],MATCH(tb_Auditoria[[#This Row],[Nº CONTRATO]],[1]!tb_Vendas[Nº Contrato],0)),0)</f>
        <v>400000</v>
      </c>
      <c r="K989" s="21">
        <f>IFERROR(tb_Auditoria[[#This Row],[VALOR ESPERADO]] / tb_Auditoria[[#This Row],[VALOR CRÉDITO]], 0)</f>
        <v>0</v>
      </c>
      <c r="L989" s="19" t="e">
        <f>SUMIFS([1]!Motor_Comissão[Valor Previsto],[1]!Motor_Comissão[Chave], tb_Auditoria[[#This Row],[Nº CONTRATO]]&amp;"-"&amp;tb_Auditoria[[#This Row],[PARCELA ATUAL]])</f>
        <v>#REF!</v>
      </c>
      <c r="M989" s="19" t="e">
        <f>tb_Auditoria[[#This Row],[VALOR PAGO]] - tb_Auditoria[[#This Row],[VALOR ESPERADO]]</f>
        <v>#REF!</v>
      </c>
      <c r="N9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0" spans="1:15">
      <c r="A990" s="9">
        <v>1148541</v>
      </c>
      <c r="B990" s="10">
        <v>2</v>
      </c>
      <c r="C990" s="37">
        <v>5.1200000000000004E-3</v>
      </c>
      <c r="D990" s="12">
        <f>tb_Auditoria[[#This Row],[% TAXA RELATÓRIO]]*tb_Auditoria[[#This Row],[VALOR CRÉDITO]]</f>
        <v>2048</v>
      </c>
      <c r="E990" s="13">
        <v>45887</v>
      </c>
      <c r="F990" s="13" t="s">
        <v>18</v>
      </c>
      <c r="G99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9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90" s="19">
        <f>IFERROR(INDEX([1]!tb_Vendas[Crédito],MATCH(tb_Auditoria[[#This Row],[Nº CONTRATO]],[1]!tb_Vendas[Nº Contrato],0)),0)</f>
        <v>400000</v>
      </c>
      <c r="K990" s="21">
        <f>IFERROR(tb_Auditoria[[#This Row],[VALOR ESPERADO]] / tb_Auditoria[[#This Row],[VALOR CRÉDITO]], 0)</f>
        <v>0</v>
      </c>
      <c r="L990" s="19" t="e">
        <f>SUMIFS([1]!Motor_Comissão[Valor Previsto],[1]!Motor_Comissão[Chave], tb_Auditoria[[#This Row],[Nº CONTRATO]]&amp;"-"&amp;tb_Auditoria[[#This Row],[PARCELA ATUAL]])</f>
        <v>#REF!</v>
      </c>
      <c r="M990" s="19" t="e">
        <f>tb_Auditoria[[#This Row],[VALOR PAGO]] - tb_Auditoria[[#This Row],[VALOR ESPERADO]]</f>
        <v>#REF!</v>
      </c>
      <c r="N9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1" spans="1:15">
      <c r="A991" s="9">
        <v>1148541</v>
      </c>
      <c r="B991" s="10">
        <v>3</v>
      </c>
      <c r="C991" s="37">
        <v>5.1200000000000004E-3</v>
      </c>
      <c r="D991" s="12">
        <f>tb_Auditoria[[#This Row],[% TAXA RELATÓRIO]]*tb_Auditoria[[#This Row],[VALOR CRÉDITO]]</f>
        <v>2048</v>
      </c>
      <c r="E991" s="13">
        <v>45918</v>
      </c>
      <c r="F991" s="13" t="s">
        <v>18</v>
      </c>
      <c r="G99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9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91" s="19">
        <f>IFERROR(INDEX([1]!tb_Vendas[Crédito],MATCH(tb_Auditoria[[#This Row],[Nº CONTRATO]],[1]!tb_Vendas[Nº Contrato],0)),0)</f>
        <v>400000</v>
      </c>
      <c r="K991" s="21">
        <f>IFERROR(tb_Auditoria[[#This Row],[VALOR ESPERADO]] / tb_Auditoria[[#This Row],[VALOR CRÉDITO]], 0)</f>
        <v>0</v>
      </c>
      <c r="L991" s="19" t="e">
        <f>SUMIFS([1]!Motor_Comissão[Valor Previsto],[1]!Motor_Comissão[Chave], tb_Auditoria[[#This Row],[Nº CONTRATO]]&amp;"-"&amp;tb_Auditoria[[#This Row],[PARCELA ATUAL]])</f>
        <v>#REF!</v>
      </c>
      <c r="M991" s="19" t="e">
        <f>tb_Auditoria[[#This Row],[VALOR PAGO]] - tb_Auditoria[[#This Row],[VALOR ESPERADO]]</f>
        <v>#REF!</v>
      </c>
      <c r="N9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2" spans="1:15">
      <c r="A992" s="9">
        <v>1148541</v>
      </c>
      <c r="B992" s="10">
        <v>4</v>
      </c>
      <c r="C992" s="37">
        <v>5.1200000000000004E-3</v>
      </c>
      <c r="D992" s="12">
        <f>tb_Auditoria[[#This Row],[% TAXA RELATÓRIO]]*tb_Auditoria[[#This Row],[VALOR CRÉDITO]]</f>
        <v>2048</v>
      </c>
      <c r="E992" s="13">
        <v>45946</v>
      </c>
      <c r="F992" s="13" t="s">
        <v>18</v>
      </c>
      <c r="G99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9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92" s="19">
        <f>IFERROR(INDEX([1]!tb_Vendas[Crédito],MATCH(tb_Auditoria[[#This Row],[Nº CONTRATO]],[1]!tb_Vendas[Nº Contrato],0)),0)</f>
        <v>400000</v>
      </c>
      <c r="K992" s="21">
        <f>IFERROR(tb_Auditoria[[#This Row],[VALOR ESPERADO]] / tb_Auditoria[[#This Row],[VALOR CRÉDITO]], 0)</f>
        <v>0</v>
      </c>
      <c r="L992" s="19" t="e">
        <f>SUMIFS([1]!Motor_Comissão[Valor Previsto],[1]!Motor_Comissão[Chave], tb_Auditoria[[#This Row],[Nº CONTRATO]]&amp;"-"&amp;tb_Auditoria[[#This Row],[PARCELA ATUAL]])</f>
        <v>#REF!</v>
      </c>
      <c r="M992" s="19" t="e">
        <f>tb_Auditoria[[#This Row],[VALOR PAGO]] - tb_Auditoria[[#This Row],[VALOR ESPERADO]]</f>
        <v>#REF!</v>
      </c>
      <c r="N9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3" spans="1:15">
      <c r="A993" s="9">
        <v>1148541</v>
      </c>
      <c r="B993" s="10">
        <v>5</v>
      </c>
      <c r="C993" s="37">
        <v>5.1200000000000004E-3</v>
      </c>
      <c r="D993" s="12">
        <f>tb_Auditoria[[#This Row],[% TAXA RELATÓRIO]]*tb_Auditoria[[#This Row],[VALOR CRÉDITO]]</f>
        <v>2048</v>
      </c>
      <c r="E993" s="13">
        <v>45980</v>
      </c>
      <c r="F993" s="13" t="s">
        <v>18</v>
      </c>
      <c r="G99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9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93" s="19">
        <f>IFERROR(INDEX([1]!tb_Vendas[Crédito],MATCH(tb_Auditoria[[#This Row],[Nº CONTRATO]],[1]!tb_Vendas[Nº Contrato],0)),0)</f>
        <v>400000</v>
      </c>
      <c r="K993" s="21">
        <f>IFERROR(tb_Auditoria[[#This Row],[VALOR ESPERADO]] / tb_Auditoria[[#This Row],[VALOR CRÉDITO]], 0)</f>
        <v>0</v>
      </c>
      <c r="L993" s="19" t="e">
        <f>SUMIFS([1]!Motor_Comissão[Valor Previsto],[1]!Motor_Comissão[Chave], tb_Auditoria[[#This Row],[Nº CONTRATO]]&amp;"-"&amp;tb_Auditoria[[#This Row],[PARCELA ATUAL]])</f>
        <v>#REF!</v>
      </c>
      <c r="M993" s="19" t="e">
        <f>tb_Auditoria[[#This Row],[VALOR PAGO]] - tb_Auditoria[[#This Row],[VALOR ESPERADO]]</f>
        <v>#REF!</v>
      </c>
      <c r="N9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4" spans="1:15">
      <c r="A994" s="30">
        <v>1148541</v>
      </c>
      <c r="B994" s="25">
        <v>6</v>
      </c>
      <c r="C994" s="37">
        <v>5.1200000000000004E-3</v>
      </c>
      <c r="D994" s="32">
        <f>tb_Auditoria[[#This Row],[% TAXA RELATÓRIO]]*tb_Auditoria[[#This Row],[VALOR CRÉDITO]]</f>
        <v>2048</v>
      </c>
      <c r="E994" s="29">
        <v>46008</v>
      </c>
      <c r="F994" s="13" t="s">
        <v>18</v>
      </c>
      <c r="G994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4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94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94" s="23">
        <f>IFERROR(INDEX([1]!tb_Vendas[Crédito],MATCH(tb_Auditoria[[#This Row],[Nº CONTRATO]],[1]!tb_Vendas[Nº Contrato],0)),0)</f>
        <v>400000</v>
      </c>
      <c r="K994" s="22">
        <f>IFERROR(tb_Auditoria[[#This Row],[VALOR ESPERADO]] / tb_Auditoria[[#This Row],[VALOR CRÉDITO]], 0)</f>
        <v>0</v>
      </c>
      <c r="L994" s="23" t="e">
        <f>SUMIFS([1]!Motor_Comissão[Valor Previsto],[1]!Motor_Comissão[Chave], tb_Auditoria[[#This Row],[Nº CONTRATO]]&amp;"-"&amp;tb_Auditoria[[#This Row],[PARCELA ATUAL]])</f>
        <v>#REF!</v>
      </c>
      <c r="M994" s="23" t="e">
        <f>tb_Auditoria[[#This Row],[VALOR PAGO]] - tb_Auditoria[[#This Row],[VALOR ESPERADO]]</f>
        <v>#REF!</v>
      </c>
      <c r="N994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4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5" spans="1:15">
      <c r="A995" s="9">
        <v>1148541</v>
      </c>
      <c r="B995" s="10">
        <v>7</v>
      </c>
      <c r="C995" s="37">
        <v>2.32E-3</v>
      </c>
      <c r="D995" s="12">
        <f>tb_Auditoria[[#This Row],[% TAXA RELATÓRIO]]*tb_Auditoria[[#This Row],[VALOR CRÉDITO]]</f>
        <v>928</v>
      </c>
      <c r="E995" s="13">
        <v>46038</v>
      </c>
      <c r="F995" s="13" t="s">
        <v>18</v>
      </c>
      <c r="G99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9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95" s="19">
        <f>IFERROR(INDEX([1]!tb_Vendas[Crédito],MATCH(tb_Auditoria[[#This Row],[Nº CONTRATO]],[1]!tb_Vendas[Nº Contrato],0)),0)</f>
        <v>400000</v>
      </c>
      <c r="K995" s="21">
        <f>IFERROR(tb_Auditoria[[#This Row],[VALOR ESPERADO]] / tb_Auditoria[[#This Row],[VALOR CRÉDITO]], 0)</f>
        <v>0</v>
      </c>
      <c r="L995" s="19" t="e">
        <f>SUMIFS([1]!Motor_Comissão[Valor Previsto],[1]!Motor_Comissão[Chave], tb_Auditoria[[#This Row],[Nº CONTRATO]]&amp;"-"&amp;tb_Auditoria[[#This Row],[PARCELA ATUAL]])</f>
        <v>#REF!</v>
      </c>
      <c r="M995" s="19" t="e">
        <f>tb_Auditoria[[#This Row],[VALOR PAGO]] - tb_Auditoria[[#This Row],[VALOR ESPERADO]]</f>
        <v>#REF!</v>
      </c>
      <c r="N9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6" spans="1:15">
      <c r="A996" s="9">
        <v>1148541</v>
      </c>
      <c r="B996" s="10">
        <v>8</v>
      </c>
      <c r="C996" s="37">
        <v>2.32E-3</v>
      </c>
      <c r="D996" s="12">
        <f>tb_Auditoria[[#This Row],[% TAXA RELATÓRIO]]*tb_Auditoria[[#This Row],[VALOR CRÉDITO]]</f>
        <v>928</v>
      </c>
      <c r="E996" s="13">
        <v>46100</v>
      </c>
      <c r="F996" s="13" t="s">
        <v>18</v>
      </c>
      <c r="G99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9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96" s="19">
        <f>IFERROR(INDEX([1]!tb_Vendas[Crédito],MATCH(tb_Auditoria[[#This Row],[Nº CONTRATO]],[1]!tb_Vendas[Nº Contrato],0)),0)</f>
        <v>400000</v>
      </c>
      <c r="K996" s="21">
        <f>IFERROR(tb_Auditoria[[#This Row],[VALOR ESPERADO]] / tb_Auditoria[[#This Row],[VALOR CRÉDITO]], 0)</f>
        <v>0</v>
      </c>
      <c r="L996" s="19" t="e">
        <f>SUMIFS([1]!Motor_Comissão[Valor Previsto],[1]!Motor_Comissão[Chave], tb_Auditoria[[#This Row],[Nº CONTRATO]]&amp;"-"&amp;tb_Auditoria[[#This Row],[PARCELA ATUAL]])</f>
        <v>#REF!</v>
      </c>
      <c r="M996" s="19" t="e">
        <f>tb_Auditoria[[#This Row],[VALOR PAGO]] - tb_Auditoria[[#This Row],[VALOR ESPERADO]]</f>
        <v>#REF!</v>
      </c>
      <c r="N9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7" spans="1:15">
      <c r="A997" s="9">
        <v>1148541</v>
      </c>
      <c r="B997" s="10">
        <v>9</v>
      </c>
      <c r="C997" s="37">
        <v>2.32E-3</v>
      </c>
      <c r="D997" s="12">
        <f>tb_Auditoria[[#This Row],[% TAXA RELATÓRIO]]*tb_Auditoria[[#This Row],[VALOR CRÉDITO]]</f>
        <v>928</v>
      </c>
      <c r="E997" s="13">
        <v>46100</v>
      </c>
      <c r="F997" s="13" t="s">
        <v>18</v>
      </c>
      <c r="G99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9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97" s="19">
        <f>IFERROR(INDEX([1]!tb_Vendas[Crédito],MATCH(tb_Auditoria[[#This Row],[Nº CONTRATO]],[1]!tb_Vendas[Nº Contrato],0)),0)</f>
        <v>400000</v>
      </c>
      <c r="K997" s="21">
        <f>IFERROR(tb_Auditoria[[#This Row],[VALOR ESPERADO]] / tb_Auditoria[[#This Row],[VALOR CRÉDITO]], 0)</f>
        <v>0</v>
      </c>
      <c r="L997" s="19" t="e">
        <f>SUMIFS([1]!Motor_Comissão[Valor Previsto],[1]!Motor_Comissão[Chave], tb_Auditoria[[#This Row],[Nº CONTRATO]]&amp;"-"&amp;tb_Auditoria[[#This Row],[PARCELA ATUAL]])</f>
        <v>#REF!</v>
      </c>
      <c r="M997" s="19" t="e">
        <f>tb_Auditoria[[#This Row],[VALOR PAGO]] - tb_Auditoria[[#This Row],[VALOR ESPERADO]]</f>
        <v>#REF!</v>
      </c>
      <c r="N9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8" spans="1:15">
      <c r="A998" s="9">
        <v>1148541</v>
      </c>
      <c r="B998" s="10">
        <v>10</v>
      </c>
      <c r="C998" s="37">
        <v>2.32E-3</v>
      </c>
      <c r="D998" s="12">
        <f>tb_Auditoria[[#This Row],[% TAXA RELATÓRIO]]*tb_Auditoria[[#This Row],[VALOR CRÉDITO]]</f>
        <v>928</v>
      </c>
      <c r="E998" s="13">
        <v>46129</v>
      </c>
      <c r="F998" s="13" t="s">
        <v>18</v>
      </c>
      <c r="G99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9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98" s="19">
        <f>IFERROR(INDEX([1]!tb_Vendas[Crédito],MATCH(tb_Auditoria[[#This Row],[Nº CONTRATO]],[1]!tb_Vendas[Nº Contrato],0)),0)</f>
        <v>400000</v>
      </c>
      <c r="K998" s="21">
        <f>IFERROR(tb_Auditoria[[#This Row],[VALOR ESPERADO]] / tb_Auditoria[[#This Row],[VALOR CRÉDITO]], 0)</f>
        <v>0</v>
      </c>
      <c r="L998" s="19" t="e">
        <f>SUMIFS([1]!Motor_Comissão[Valor Previsto],[1]!Motor_Comissão[Chave], tb_Auditoria[[#This Row],[Nº CONTRATO]]&amp;"-"&amp;tb_Auditoria[[#This Row],[PARCELA ATUAL]])</f>
        <v>#REF!</v>
      </c>
      <c r="M998" s="19" t="e">
        <f>tb_Auditoria[[#This Row],[VALOR PAGO]] - tb_Auditoria[[#This Row],[VALOR ESPERADO]]</f>
        <v>#REF!</v>
      </c>
      <c r="N9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999" spans="1:15">
      <c r="A999" s="9">
        <v>1148542</v>
      </c>
      <c r="B999" s="10">
        <v>2</v>
      </c>
      <c r="C999" s="37">
        <v>5.1200000000000004E-3</v>
      </c>
      <c r="D999" s="12">
        <f>tb_Auditoria[[#This Row],[% TAXA RELATÓRIO]]*tb_Auditoria[[#This Row],[VALOR CRÉDITO]]</f>
        <v>2048</v>
      </c>
      <c r="E999" s="13">
        <v>45887</v>
      </c>
      <c r="F999" s="13" t="s">
        <v>18</v>
      </c>
      <c r="G99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99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99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999" s="19">
        <f>IFERROR(INDEX([1]!tb_Vendas[Crédito],MATCH(tb_Auditoria[[#This Row],[Nº CONTRATO]],[1]!tb_Vendas[Nº Contrato],0)),0)</f>
        <v>400000</v>
      </c>
      <c r="K999" s="21">
        <f>IFERROR(tb_Auditoria[[#This Row],[VALOR ESPERADO]] / tb_Auditoria[[#This Row],[VALOR CRÉDITO]], 0)</f>
        <v>0</v>
      </c>
      <c r="L999" s="19" t="e">
        <f>SUMIFS([1]!Motor_Comissão[Valor Previsto],[1]!Motor_Comissão[Chave], tb_Auditoria[[#This Row],[Nº CONTRATO]]&amp;"-"&amp;tb_Auditoria[[#This Row],[PARCELA ATUAL]])</f>
        <v>#REF!</v>
      </c>
      <c r="M999" s="19" t="e">
        <f>tb_Auditoria[[#This Row],[VALOR PAGO]] - tb_Auditoria[[#This Row],[VALOR ESPERADO]]</f>
        <v>#REF!</v>
      </c>
      <c r="N9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9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⚠️ PULO (Cobrar P1)</v>
      </c>
    </row>
    <row r="1000" spans="1:15">
      <c r="A1000" s="9">
        <v>1148542</v>
      </c>
      <c r="B1000" s="10">
        <v>3</v>
      </c>
      <c r="C1000" s="37">
        <v>5.1200000000000004E-3</v>
      </c>
      <c r="D1000" s="12">
        <f>tb_Auditoria[[#This Row],[% TAXA RELATÓRIO]]*tb_Auditoria[[#This Row],[VALOR CRÉDITO]]</f>
        <v>2048</v>
      </c>
      <c r="E1000" s="13">
        <v>45918</v>
      </c>
      <c r="F1000" s="13" t="s">
        <v>18</v>
      </c>
      <c r="G100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100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00" s="19">
        <f>IFERROR(INDEX([1]!tb_Vendas[Crédito],MATCH(tb_Auditoria[[#This Row],[Nº CONTRATO]],[1]!tb_Vendas[Nº Contrato],0)),0)</f>
        <v>400000</v>
      </c>
      <c r="K1000" s="21">
        <f>IFERROR(tb_Auditoria[[#This Row],[VALOR ESPERADO]] / tb_Auditoria[[#This Row],[VALOR CRÉDITO]], 0)</f>
        <v>0</v>
      </c>
      <c r="L1000" s="19" t="e">
        <f>SUMIFS([1]!Motor_Comissão[Valor Previsto],[1]!Motor_Comissão[Chave], tb_Auditoria[[#This Row],[Nº CONTRATO]]&amp;"-"&amp;tb_Auditoria[[#This Row],[PARCELA ATUAL]])</f>
        <v>#REF!</v>
      </c>
      <c r="M1000" s="19" t="e">
        <f>tb_Auditoria[[#This Row],[VALOR PAGO]] - tb_Auditoria[[#This Row],[VALOR ESPERADO]]</f>
        <v>#REF!</v>
      </c>
      <c r="N10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01" spans="1:15">
      <c r="A1001" s="9">
        <v>1148542</v>
      </c>
      <c r="B1001" s="10">
        <v>4</v>
      </c>
      <c r="C1001" s="37">
        <v>5.1200000000000004E-3</v>
      </c>
      <c r="D1001" s="12">
        <f>tb_Auditoria[[#This Row],[% TAXA RELATÓRIO]]*tb_Auditoria[[#This Row],[VALOR CRÉDITO]]</f>
        <v>2048</v>
      </c>
      <c r="E1001" s="13">
        <v>45946</v>
      </c>
      <c r="F1001" s="13" t="s">
        <v>18</v>
      </c>
      <c r="G100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100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01" s="19">
        <f>IFERROR(INDEX([1]!tb_Vendas[Crédito],MATCH(tb_Auditoria[[#This Row],[Nº CONTRATO]],[1]!tb_Vendas[Nº Contrato],0)),0)</f>
        <v>400000</v>
      </c>
      <c r="K1001" s="21">
        <f>IFERROR(tb_Auditoria[[#This Row],[VALOR ESPERADO]] / tb_Auditoria[[#This Row],[VALOR CRÉDITO]], 0)</f>
        <v>0</v>
      </c>
      <c r="L1001" s="19" t="e">
        <f>SUMIFS([1]!Motor_Comissão[Valor Previsto],[1]!Motor_Comissão[Chave], tb_Auditoria[[#This Row],[Nº CONTRATO]]&amp;"-"&amp;tb_Auditoria[[#This Row],[PARCELA ATUAL]])</f>
        <v>#REF!</v>
      </c>
      <c r="M1001" s="19" t="e">
        <f>tb_Auditoria[[#This Row],[VALOR PAGO]] - tb_Auditoria[[#This Row],[VALOR ESPERADO]]</f>
        <v>#REF!</v>
      </c>
      <c r="N10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02" spans="1:15">
      <c r="A1002" s="9">
        <v>1148542</v>
      </c>
      <c r="B1002" s="10">
        <v>5</v>
      </c>
      <c r="C1002" s="37">
        <v>5.1200000000000004E-3</v>
      </c>
      <c r="D1002" s="12">
        <f>tb_Auditoria[[#This Row],[% TAXA RELATÓRIO]]*tb_Auditoria[[#This Row],[VALOR CRÉDITO]]</f>
        <v>2048</v>
      </c>
      <c r="E1002" s="13">
        <v>45980</v>
      </c>
      <c r="F1002" s="13" t="s">
        <v>18</v>
      </c>
      <c r="G100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100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02" s="19">
        <f>IFERROR(INDEX([1]!tb_Vendas[Crédito],MATCH(tb_Auditoria[[#This Row],[Nº CONTRATO]],[1]!tb_Vendas[Nº Contrato],0)),0)</f>
        <v>400000</v>
      </c>
      <c r="K1002" s="21">
        <f>IFERROR(tb_Auditoria[[#This Row],[VALOR ESPERADO]] / tb_Auditoria[[#This Row],[VALOR CRÉDITO]], 0)</f>
        <v>0</v>
      </c>
      <c r="L1002" s="19" t="e">
        <f>SUMIFS([1]!Motor_Comissão[Valor Previsto],[1]!Motor_Comissão[Chave], tb_Auditoria[[#This Row],[Nº CONTRATO]]&amp;"-"&amp;tb_Auditoria[[#This Row],[PARCELA ATUAL]])</f>
        <v>#REF!</v>
      </c>
      <c r="M1002" s="19" t="e">
        <f>tb_Auditoria[[#This Row],[VALOR PAGO]] - tb_Auditoria[[#This Row],[VALOR ESPERADO]]</f>
        <v>#REF!</v>
      </c>
      <c r="N10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03" spans="1:15">
      <c r="A1003" s="9">
        <v>1148542</v>
      </c>
      <c r="B1003" s="10">
        <v>6</v>
      </c>
      <c r="C1003" s="37">
        <v>5.1200000000000004E-3</v>
      </c>
      <c r="D1003" s="12">
        <f>tb_Auditoria[[#This Row],[% TAXA RELATÓRIO]]*tb_Auditoria[[#This Row],[VALOR CRÉDITO]]</f>
        <v>2048</v>
      </c>
      <c r="E1003" s="13">
        <v>46008</v>
      </c>
      <c r="F1003" s="13" t="s">
        <v>18</v>
      </c>
      <c r="G100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100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03" s="19">
        <f>IFERROR(INDEX([1]!tb_Vendas[Crédito],MATCH(tb_Auditoria[[#This Row],[Nº CONTRATO]],[1]!tb_Vendas[Nº Contrato],0)),0)</f>
        <v>400000</v>
      </c>
      <c r="K1003" s="21">
        <f>IFERROR(tb_Auditoria[[#This Row],[VALOR ESPERADO]] / tb_Auditoria[[#This Row],[VALOR CRÉDITO]], 0)</f>
        <v>0</v>
      </c>
      <c r="L1003" s="19" t="e">
        <f>SUMIFS([1]!Motor_Comissão[Valor Previsto],[1]!Motor_Comissão[Chave], tb_Auditoria[[#This Row],[Nº CONTRATO]]&amp;"-"&amp;tb_Auditoria[[#This Row],[PARCELA ATUAL]])</f>
        <v>#REF!</v>
      </c>
      <c r="M1003" s="19" t="e">
        <f>tb_Auditoria[[#This Row],[VALOR PAGO]] - tb_Auditoria[[#This Row],[VALOR ESPERADO]]</f>
        <v>#REF!</v>
      </c>
      <c r="N10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04" spans="1:15">
      <c r="A1004" s="9">
        <v>1148542</v>
      </c>
      <c r="B1004" s="10">
        <v>7</v>
      </c>
      <c r="C1004" s="37">
        <v>2.32E-3</v>
      </c>
      <c r="D1004" s="12">
        <f>tb_Auditoria[[#This Row],[% TAXA RELATÓRIO]]*tb_Auditoria[[#This Row],[VALOR CRÉDITO]]</f>
        <v>928</v>
      </c>
      <c r="E1004" s="13">
        <v>46038</v>
      </c>
      <c r="F1004" s="13" t="s">
        <v>18</v>
      </c>
      <c r="G100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100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04" s="19">
        <f>IFERROR(INDEX([1]!tb_Vendas[Crédito],MATCH(tb_Auditoria[[#This Row],[Nº CONTRATO]],[1]!tb_Vendas[Nº Contrato],0)),0)</f>
        <v>400000</v>
      </c>
      <c r="K1004" s="21">
        <f>IFERROR(tb_Auditoria[[#This Row],[VALOR ESPERADO]] / tb_Auditoria[[#This Row],[VALOR CRÉDITO]], 0)</f>
        <v>0</v>
      </c>
      <c r="L1004" s="19" t="e">
        <f>SUMIFS([1]!Motor_Comissão[Valor Previsto],[1]!Motor_Comissão[Chave], tb_Auditoria[[#This Row],[Nº CONTRATO]]&amp;"-"&amp;tb_Auditoria[[#This Row],[PARCELA ATUAL]])</f>
        <v>#REF!</v>
      </c>
      <c r="M1004" s="19" t="e">
        <f>tb_Auditoria[[#This Row],[VALOR PAGO]] - tb_Auditoria[[#This Row],[VALOR ESPERADO]]</f>
        <v>#REF!</v>
      </c>
      <c r="N10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05" spans="1:15">
      <c r="A1005" s="9">
        <v>1148542</v>
      </c>
      <c r="B1005" s="10">
        <v>8</v>
      </c>
      <c r="C1005" s="37">
        <v>2.32E-3</v>
      </c>
      <c r="D1005" s="12">
        <f>tb_Auditoria[[#This Row],[% TAXA RELATÓRIO]]*tb_Auditoria[[#This Row],[VALOR CRÉDITO]]</f>
        <v>928</v>
      </c>
      <c r="E1005" s="13">
        <v>46100</v>
      </c>
      <c r="F1005" s="13" t="s">
        <v>18</v>
      </c>
      <c r="G100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100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05" s="19">
        <f>IFERROR(INDEX([1]!tb_Vendas[Crédito],MATCH(tb_Auditoria[[#This Row],[Nº CONTRATO]],[1]!tb_Vendas[Nº Contrato],0)),0)</f>
        <v>400000</v>
      </c>
      <c r="K1005" s="21">
        <f>IFERROR(tb_Auditoria[[#This Row],[VALOR ESPERADO]] / tb_Auditoria[[#This Row],[VALOR CRÉDITO]], 0)</f>
        <v>0</v>
      </c>
      <c r="L1005" s="19" t="e">
        <f>SUMIFS([1]!Motor_Comissão[Valor Previsto],[1]!Motor_Comissão[Chave], tb_Auditoria[[#This Row],[Nº CONTRATO]]&amp;"-"&amp;tb_Auditoria[[#This Row],[PARCELA ATUAL]])</f>
        <v>#REF!</v>
      </c>
      <c r="M1005" s="19" t="e">
        <f>tb_Auditoria[[#This Row],[VALOR PAGO]] - tb_Auditoria[[#This Row],[VALOR ESPERADO]]</f>
        <v>#REF!</v>
      </c>
      <c r="N10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06" spans="1:15">
      <c r="A1006" s="9">
        <v>1148542</v>
      </c>
      <c r="B1006" s="10">
        <v>9</v>
      </c>
      <c r="C1006" s="37">
        <v>2.32E-3</v>
      </c>
      <c r="D1006" s="12">
        <f>tb_Auditoria[[#This Row],[% TAXA RELATÓRIO]]*tb_Auditoria[[#This Row],[VALOR CRÉDITO]]</f>
        <v>928</v>
      </c>
      <c r="E1006" s="13">
        <v>46100</v>
      </c>
      <c r="F1006" s="13" t="s">
        <v>18</v>
      </c>
      <c r="G100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100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06" s="19">
        <f>IFERROR(INDEX([1]!tb_Vendas[Crédito],MATCH(tb_Auditoria[[#This Row],[Nº CONTRATO]],[1]!tb_Vendas[Nº Contrato],0)),0)</f>
        <v>400000</v>
      </c>
      <c r="K1006" s="21">
        <f>IFERROR(tb_Auditoria[[#This Row],[VALOR ESPERADO]] / tb_Auditoria[[#This Row],[VALOR CRÉDITO]], 0)</f>
        <v>0</v>
      </c>
      <c r="L1006" s="19" t="e">
        <f>SUMIFS([1]!Motor_Comissão[Valor Previsto],[1]!Motor_Comissão[Chave], tb_Auditoria[[#This Row],[Nº CONTRATO]]&amp;"-"&amp;tb_Auditoria[[#This Row],[PARCELA ATUAL]])</f>
        <v>#REF!</v>
      </c>
      <c r="M1006" s="19" t="e">
        <f>tb_Auditoria[[#This Row],[VALOR PAGO]] - tb_Auditoria[[#This Row],[VALOR ESPERADO]]</f>
        <v>#REF!</v>
      </c>
      <c r="N10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07" spans="1:15">
      <c r="A1007" s="9">
        <v>1148542</v>
      </c>
      <c r="B1007" s="10">
        <v>10</v>
      </c>
      <c r="C1007" s="37">
        <v>2.32E-3</v>
      </c>
      <c r="D1007" s="12">
        <f>tb_Auditoria[[#This Row],[% TAXA RELATÓRIO]]*tb_Auditoria[[#This Row],[VALOR CRÉDITO]]</f>
        <v>928</v>
      </c>
      <c r="E1007" s="13">
        <v>46129</v>
      </c>
      <c r="F1007" s="13" t="s">
        <v>18</v>
      </c>
      <c r="G100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Marcelo Paula de Oliveira</v>
      </c>
      <c r="I100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07" s="19">
        <f>IFERROR(INDEX([1]!tb_Vendas[Crédito],MATCH(tb_Auditoria[[#This Row],[Nº CONTRATO]],[1]!tb_Vendas[Nº Contrato],0)),0)</f>
        <v>400000</v>
      </c>
      <c r="K1007" s="21">
        <f>IFERROR(tb_Auditoria[[#This Row],[VALOR ESPERADO]] / tb_Auditoria[[#This Row],[VALOR CRÉDITO]], 0)</f>
        <v>0</v>
      </c>
      <c r="L1007" s="19" t="e">
        <f>SUMIFS([1]!Motor_Comissão[Valor Previsto],[1]!Motor_Comissão[Chave], tb_Auditoria[[#This Row],[Nº CONTRATO]]&amp;"-"&amp;tb_Auditoria[[#This Row],[PARCELA ATUAL]])</f>
        <v>#REF!</v>
      </c>
      <c r="M1007" s="19" t="e">
        <f>tb_Auditoria[[#This Row],[VALOR PAGO]] - tb_Auditoria[[#This Row],[VALOR ESPERADO]]</f>
        <v>#REF!</v>
      </c>
      <c r="N10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08" spans="1:15">
      <c r="A1008" s="9">
        <v>1150093</v>
      </c>
      <c r="B1008" s="10">
        <v>1</v>
      </c>
      <c r="C1008" s="37">
        <v>4.0959999999999998E-3</v>
      </c>
      <c r="D1008" s="12">
        <f>tb_Auditoria[[#This Row],[% TAXA RELATÓRIO]]*tb_Auditoria[[#This Row],[VALOR CRÉDITO]]</f>
        <v>1310.72</v>
      </c>
      <c r="E1008" s="13">
        <v>45887</v>
      </c>
      <c r="F1008" s="13" t="s">
        <v>18</v>
      </c>
      <c r="G100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0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08" s="19">
        <f>IFERROR(INDEX([1]!tb_Vendas[Crédito],MATCH(tb_Auditoria[[#This Row],[Nº CONTRATO]],[1]!tb_Vendas[Nº Contrato],0)),0)</f>
        <v>320000</v>
      </c>
      <c r="K1008" s="21">
        <f>IFERROR(tb_Auditoria[[#This Row],[VALOR ESPERADO]] / tb_Auditoria[[#This Row],[VALOR CRÉDITO]], 0)</f>
        <v>0</v>
      </c>
      <c r="L1008" s="19" t="e">
        <f>SUMIFS([1]!Motor_Comissão[Valor Previsto],[1]!Motor_Comissão[Chave], tb_Auditoria[[#This Row],[Nº CONTRATO]]&amp;"-"&amp;tb_Auditoria[[#This Row],[PARCELA ATUAL]])</f>
        <v>#REF!</v>
      </c>
      <c r="M1008" s="19" t="e">
        <f>tb_Auditoria[[#This Row],[VALOR PAGO]] - tb_Auditoria[[#This Row],[VALOR ESPERADO]]</f>
        <v>#REF!</v>
      </c>
      <c r="N10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09" spans="1:15">
      <c r="A1009" s="9">
        <v>1150093</v>
      </c>
      <c r="B1009" s="10">
        <v>2</v>
      </c>
      <c r="C1009" s="37">
        <v>4.0959999999999998E-3</v>
      </c>
      <c r="D1009" s="12">
        <f>tb_Auditoria[[#This Row],[% TAXA RELATÓRIO]]*tb_Auditoria[[#This Row],[VALOR CRÉDITO]]</f>
        <v>1310.72</v>
      </c>
      <c r="E1009" s="13">
        <v>45918</v>
      </c>
      <c r="F1009" s="13" t="s">
        <v>18</v>
      </c>
      <c r="G100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0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0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09" s="19">
        <f>IFERROR(INDEX([1]!tb_Vendas[Crédito],MATCH(tb_Auditoria[[#This Row],[Nº CONTRATO]],[1]!tb_Vendas[Nº Contrato],0)),0)</f>
        <v>320000</v>
      </c>
      <c r="K1009" s="21">
        <f>IFERROR(tb_Auditoria[[#This Row],[VALOR ESPERADO]] / tb_Auditoria[[#This Row],[VALOR CRÉDITO]], 0)</f>
        <v>0</v>
      </c>
      <c r="L1009" s="19" t="e">
        <f>SUMIFS([1]!Motor_Comissão[Valor Previsto],[1]!Motor_Comissão[Chave], tb_Auditoria[[#This Row],[Nº CONTRATO]]&amp;"-"&amp;tb_Auditoria[[#This Row],[PARCELA ATUAL]])</f>
        <v>#REF!</v>
      </c>
      <c r="M1009" s="19" t="e">
        <f>tb_Auditoria[[#This Row],[VALOR PAGO]] - tb_Auditoria[[#This Row],[VALOR ESPERADO]]</f>
        <v>#REF!</v>
      </c>
      <c r="N10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0" spans="1:15">
      <c r="A1010" s="9">
        <v>1150093</v>
      </c>
      <c r="B1010" s="10">
        <v>3</v>
      </c>
      <c r="C1010" s="37">
        <v>4.0959999999999998E-3</v>
      </c>
      <c r="D1010" s="12">
        <f>tb_Auditoria[[#This Row],[% TAXA RELATÓRIO]]*tb_Auditoria[[#This Row],[VALOR CRÉDITO]]</f>
        <v>1310.72</v>
      </c>
      <c r="E1010" s="13">
        <v>45946</v>
      </c>
      <c r="F1010" s="13" t="s">
        <v>18</v>
      </c>
      <c r="G101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1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10" s="19">
        <f>IFERROR(INDEX([1]!tb_Vendas[Crédito],MATCH(tb_Auditoria[[#This Row],[Nº CONTRATO]],[1]!tb_Vendas[Nº Contrato],0)),0)</f>
        <v>320000</v>
      </c>
      <c r="K1010" s="21">
        <f>IFERROR(tb_Auditoria[[#This Row],[VALOR ESPERADO]] / tb_Auditoria[[#This Row],[VALOR CRÉDITO]], 0)</f>
        <v>0</v>
      </c>
      <c r="L1010" s="19" t="e">
        <f>SUMIFS([1]!Motor_Comissão[Valor Previsto],[1]!Motor_Comissão[Chave], tb_Auditoria[[#This Row],[Nº CONTRATO]]&amp;"-"&amp;tb_Auditoria[[#This Row],[PARCELA ATUAL]])</f>
        <v>#REF!</v>
      </c>
      <c r="M1010" s="19" t="e">
        <f>tb_Auditoria[[#This Row],[VALOR PAGO]] - tb_Auditoria[[#This Row],[VALOR ESPERADO]]</f>
        <v>#REF!</v>
      </c>
      <c r="N10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1" spans="1:15">
      <c r="A1011" s="9">
        <v>1150093</v>
      </c>
      <c r="B1011" s="10">
        <v>4</v>
      </c>
      <c r="C1011" s="37">
        <v>4.0959999999999998E-3</v>
      </c>
      <c r="D1011" s="12">
        <f>tb_Auditoria[[#This Row],[% TAXA RELATÓRIO]]*tb_Auditoria[[#This Row],[VALOR CRÉDITO]]</f>
        <v>1310.72</v>
      </c>
      <c r="E1011" s="13">
        <v>45980</v>
      </c>
      <c r="F1011" s="13" t="s">
        <v>18</v>
      </c>
      <c r="G101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1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11" s="19">
        <f>IFERROR(INDEX([1]!tb_Vendas[Crédito],MATCH(tb_Auditoria[[#This Row],[Nº CONTRATO]],[1]!tb_Vendas[Nº Contrato],0)),0)</f>
        <v>320000</v>
      </c>
      <c r="K1011" s="21">
        <f>IFERROR(tb_Auditoria[[#This Row],[VALOR ESPERADO]] / tb_Auditoria[[#This Row],[VALOR CRÉDITO]], 0)</f>
        <v>0</v>
      </c>
      <c r="L1011" s="19" t="e">
        <f>SUMIFS([1]!Motor_Comissão[Valor Previsto],[1]!Motor_Comissão[Chave], tb_Auditoria[[#This Row],[Nº CONTRATO]]&amp;"-"&amp;tb_Auditoria[[#This Row],[PARCELA ATUAL]])</f>
        <v>#REF!</v>
      </c>
      <c r="M1011" s="19" t="e">
        <f>tb_Auditoria[[#This Row],[VALOR PAGO]] - tb_Auditoria[[#This Row],[VALOR ESPERADO]]</f>
        <v>#REF!</v>
      </c>
      <c r="N10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2" spans="1:15">
      <c r="A1012" s="9">
        <v>1150093</v>
      </c>
      <c r="B1012" s="10">
        <v>5</v>
      </c>
      <c r="C1012" s="37">
        <v>4.0959999999999998E-3</v>
      </c>
      <c r="D1012" s="12">
        <f>tb_Auditoria[[#This Row],[% TAXA RELATÓRIO]]*tb_Auditoria[[#This Row],[VALOR CRÉDITO]]</f>
        <v>1310.72</v>
      </c>
      <c r="E1012" s="13">
        <v>46008</v>
      </c>
      <c r="F1012" s="13" t="s">
        <v>18</v>
      </c>
      <c r="G101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1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12" s="19">
        <f>IFERROR(INDEX([1]!tb_Vendas[Crédito],MATCH(tb_Auditoria[[#This Row],[Nº CONTRATO]],[1]!tb_Vendas[Nº Contrato],0)),0)</f>
        <v>320000</v>
      </c>
      <c r="K1012" s="21">
        <f>IFERROR(tb_Auditoria[[#This Row],[VALOR ESPERADO]] / tb_Auditoria[[#This Row],[VALOR CRÉDITO]], 0)</f>
        <v>0</v>
      </c>
      <c r="L1012" s="19" t="e">
        <f>SUMIFS([1]!Motor_Comissão[Valor Previsto],[1]!Motor_Comissão[Chave], tb_Auditoria[[#This Row],[Nº CONTRATO]]&amp;"-"&amp;tb_Auditoria[[#This Row],[PARCELA ATUAL]])</f>
        <v>#REF!</v>
      </c>
      <c r="M1012" s="19" t="e">
        <f>tb_Auditoria[[#This Row],[VALOR PAGO]] - tb_Auditoria[[#This Row],[VALOR ESPERADO]]</f>
        <v>#REF!</v>
      </c>
      <c r="N10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3" spans="1:15">
      <c r="A1013" s="9">
        <v>1150093</v>
      </c>
      <c r="B1013" s="10">
        <v>6</v>
      </c>
      <c r="C1013" s="37">
        <v>4.0959999999999998E-3</v>
      </c>
      <c r="D1013" s="12">
        <f>tb_Auditoria[[#This Row],[% TAXA RELATÓRIO]]*tb_Auditoria[[#This Row],[VALOR CRÉDITO]]</f>
        <v>1310.72</v>
      </c>
      <c r="E1013" s="13">
        <v>46038</v>
      </c>
      <c r="F1013" s="13" t="s">
        <v>18</v>
      </c>
      <c r="G101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1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13" s="19">
        <f>IFERROR(INDEX([1]!tb_Vendas[Crédito],MATCH(tb_Auditoria[[#This Row],[Nº CONTRATO]],[1]!tb_Vendas[Nº Contrato],0)),0)</f>
        <v>320000</v>
      </c>
      <c r="K1013" s="21">
        <f>IFERROR(tb_Auditoria[[#This Row],[VALOR ESPERADO]] / tb_Auditoria[[#This Row],[VALOR CRÉDITO]], 0)</f>
        <v>0</v>
      </c>
      <c r="L1013" s="19" t="e">
        <f>SUMIFS([1]!Motor_Comissão[Valor Previsto],[1]!Motor_Comissão[Chave], tb_Auditoria[[#This Row],[Nº CONTRATO]]&amp;"-"&amp;tb_Auditoria[[#This Row],[PARCELA ATUAL]])</f>
        <v>#REF!</v>
      </c>
      <c r="M1013" s="19" t="e">
        <f>tb_Auditoria[[#This Row],[VALOR PAGO]] - tb_Auditoria[[#This Row],[VALOR ESPERADO]]</f>
        <v>#REF!</v>
      </c>
      <c r="N10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4" spans="1:15">
      <c r="A1014" s="9">
        <v>1150093</v>
      </c>
      <c r="B1014" s="10">
        <v>7</v>
      </c>
      <c r="C1014" s="37">
        <v>1.856E-3</v>
      </c>
      <c r="D1014" s="12">
        <f>tb_Auditoria[[#This Row],[% TAXA RELATÓRIO]]*tb_Auditoria[[#This Row],[VALOR CRÉDITO]]</f>
        <v>593.91999999999996</v>
      </c>
      <c r="E1014" s="13">
        <v>46072</v>
      </c>
      <c r="F1014" s="13" t="s">
        <v>18</v>
      </c>
      <c r="G101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1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14" s="19">
        <f>IFERROR(INDEX([1]!tb_Vendas[Crédito],MATCH(tb_Auditoria[[#This Row],[Nº CONTRATO]],[1]!tb_Vendas[Nº Contrato],0)),0)</f>
        <v>320000</v>
      </c>
      <c r="K1014" s="21">
        <f>IFERROR(tb_Auditoria[[#This Row],[VALOR ESPERADO]] / tb_Auditoria[[#This Row],[VALOR CRÉDITO]], 0)</f>
        <v>0</v>
      </c>
      <c r="L1014" s="19" t="e">
        <f>SUMIFS([1]!Motor_Comissão[Valor Previsto],[1]!Motor_Comissão[Chave], tb_Auditoria[[#This Row],[Nº CONTRATO]]&amp;"-"&amp;tb_Auditoria[[#This Row],[PARCELA ATUAL]])</f>
        <v>#REF!</v>
      </c>
      <c r="M1014" s="19" t="e">
        <f>tb_Auditoria[[#This Row],[VALOR PAGO]] - tb_Auditoria[[#This Row],[VALOR ESPERADO]]</f>
        <v>#REF!</v>
      </c>
      <c r="N10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5" spans="1:15">
      <c r="A1015" s="9">
        <v>1150093</v>
      </c>
      <c r="B1015" s="10">
        <v>8</v>
      </c>
      <c r="C1015" s="37">
        <v>1.856E-3</v>
      </c>
      <c r="D1015" s="12">
        <f>tb_Auditoria[[#This Row],[% TAXA RELATÓRIO]]*tb_Auditoria[[#This Row],[VALOR CRÉDITO]]</f>
        <v>593.91999999999996</v>
      </c>
      <c r="E1015" s="13">
        <v>46100</v>
      </c>
      <c r="F1015" s="13" t="s">
        <v>18</v>
      </c>
      <c r="G101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1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15" s="19">
        <f>IFERROR(INDEX([1]!tb_Vendas[Crédito],MATCH(tb_Auditoria[[#This Row],[Nº CONTRATO]],[1]!tb_Vendas[Nº Contrato],0)),0)</f>
        <v>320000</v>
      </c>
      <c r="K1015" s="21">
        <f>IFERROR(tb_Auditoria[[#This Row],[VALOR ESPERADO]] / tb_Auditoria[[#This Row],[VALOR CRÉDITO]], 0)</f>
        <v>0</v>
      </c>
      <c r="L1015" s="19" t="e">
        <f>SUMIFS([1]!Motor_Comissão[Valor Previsto],[1]!Motor_Comissão[Chave], tb_Auditoria[[#This Row],[Nº CONTRATO]]&amp;"-"&amp;tb_Auditoria[[#This Row],[PARCELA ATUAL]])</f>
        <v>#REF!</v>
      </c>
      <c r="M1015" s="19" t="e">
        <f>tb_Auditoria[[#This Row],[VALOR PAGO]] - tb_Auditoria[[#This Row],[VALOR ESPERADO]]</f>
        <v>#REF!</v>
      </c>
      <c r="N10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6" spans="1:15">
      <c r="A1016" s="9">
        <v>1150093</v>
      </c>
      <c r="B1016" s="10">
        <v>9</v>
      </c>
      <c r="C1016" s="37">
        <v>1.856E-3</v>
      </c>
      <c r="D1016" s="12">
        <f>tb_Auditoria[[#This Row],[% TAXA RELATÓRIO]]*tb_Auditoria[[#This Row],[VALOR CRÉDITO]]</f>
        <v>593.91999999999996</v>
      </c>
      <c r="E1016" s="13">
        <v>46129</v>
      </c>
      <c r="F1016" s="13" t="s">
        <v>18</v>
      </c>
      <c r="G101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1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16" s="19">
        <f>IFERROR(INDEX([1]!tb_Vendas[Crédito],MATCH(tb_Auditoria[[#This Row],[Nº CONTRATO]],[1]!tb_Vendas[Nº Contrato],0)),0)</f>
        <v>320000</v>
      </c>
      <c r="K1016" s="21">
        <f>IFERROR(tb_Auditoria[[#This Row],[VALOR ESPERADO]] / tb_Auditoria[[#This Row],[VALOR CRÉDITO]], 0)</f>
        <v>0</v>
      </c>
      <c r="L1016" s="19" t="e">
        <f>SUMIFS([1]!Motor_Comissão[Valor Previsto],[1]!Motor_Comissão[Chave], tb_Auditoria[[#This Row],[Nº CONTRATO]]&amp;"-"&amp;tb_Auditoria[[#This Row],[PARCELA ATUAL]])</f>
        <v>#REF!</v>
      </c>
      <c r="M1016" s="19" t="e">
        <f>tb_Auditoria[[#This Row],[VALOR PAGO]] - tb_Auditoria[[#This Row],[VALOR ESPERADO]]</f>
        <v>#REF!</v>
      </c>
      <c r="N10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7" spans="1:15">
      <c r="A1017" s="9">
        <v>1150093</v>
      </c>
      <c r="B1017" s="10">
        <v>10</v>
      </c>
      <c r="C1017" s="37">
        <v>1.856E-3</v>
      </c>
      <c r="D1017" s="12">
        <f>tb_Auditoria[[#This Row],[% TAXA RELATÓRIO]]*tb_Auditoria[[#This Row],[VALOR CRÉDITO]]</f>
        <v>593.91999999999996</v>
      </c>
      <c r="E1017" s="13">
        <v>46161</v>
      </c>
      <c r="F1017" s="13" t="s">
        <v>18</v>
      </c>
      <c r="G101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1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17" s="19">
        <f>IFERROR(INDEX([1]!tb_Vendas[Crédito],MATCH(tb_Auditoria[[#This Row],[Nº CONTRATO]],[1]!tb_Vendas[Nº Contrato],0)),0)</f>
        <v>320000</v>
      </c>
      <c r="K1017" s="21">
        <f>IFERROR(tb_Auditoria[[#This Row],[VALOR ESPERADO]] / tb_Auditoria[[#This Row],[VALOR CRÉDITO]], 0)</f>
        <v>0</v>
      </c>
      <c r="L1017" s="19" t="e">
        <f>SUMIFS([1]!Motor_Comissão[Valor Previsto],[1]!Motor_Comissão[Chave], tb_Auditoria[[#This Row],[Nº CONTRATO]]&amp;"-"&amp;tb_Auditoria[[#This Row],[PARCELA ATUAL]])</f>
        <v>#REF!</v>
      </c>
      <c r="M1017" s="19" t="e">
        <f>tb_Auditoria[[#This Row],[VALOR PAGO]] - tb_Auditoria[[#This Row],[VALOR ESPERADO]]</f>
        <v>#REF!</v>
      </c>
      <c r="N10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8" spans="1:15">
      <c r="A1018" s="9">
        <v>1150094</v>
      </c>
      <c r="B1018" s="10">
        <v>1</v>
      </c>
      <c r="C1018" s="37">
        <v>4.0959999999999998E-3</v>
      </c>
      <c r="D1018" s="12">
        <f>tb_Auditoria[[#This Row],[% TAXA RELATÓRIO]]*tb_Auditoria[[#This Row],[VALOR CRÉDITO]]</f>
        <v>1310.72</v>
      </c>
      <c r="E1018" s="13">
        <v>45887</v>
      </c>
      <c r="F1018" s="13" t="s">
        <v>18</v>
      </c>
      <c r="G101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1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18" s="19">
        <f>IFERROR(INDEX([1]!tb_Vendas[Crédito],MATCH(tb_Auditoria[[#This Row],[Nº CONTRATO]],[1]!tb_Vendas[Nº Contrato],0)),0)</f>
        <v>320000</v>
      </c>
      <c r="K1018" s="21">
        <f>IFERROR(tb_Auditoria[[#This Row],[VALOR ESPERADO]] / tb_Auditoria[[#This Row],[VALOR CRÉDITO]], 0)</f>
        <v>0</v>
      </c>
      <c r="L1018" s="19" t="e">
        <f>SUMIFS([1]!Motor_Comissão[Valor Previsto],[1]!Motor_Comissão[Chave], tb_Auditoria[[#This Row],[Nº CONTRATO]]&amp;"-"&amp;tb_Auditoria[[#This Row],[PARCELA ATUAL]])</f>
        <v>#REF!</v>
      </c>
      <c r="M1018" s="19" t="e">
        <f>tb_Auditoria[[#This Row],[VALOR PAGO]] - tb_Auditoria[[#This Row],[VALOR ESPERADO]]</f>
        <v>#REF!</v>
      </c>
      <c r="N10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19" spans="1:15">
      <c r="A1019" s="9">
        <v>1150094</v>
      </c>
      <c r="B1019" s="10">
        <v>2</v>
      </c>
      <c r="C1019" s="37">
        <v>4.0959999999999998E-3</v>
      </c>
      <c r="D1019" s="12">
        <f>tb_Auditoria[[#This Row],[% TAXA RELATÓRIO]]*tb_Auditoria[[#This Row],[VALOR CRÉDITO]]</f>
        <v>1310.72</v>
      </c>
      <c r="E1019" s="13">
        <v>45918</v>
      </c>
      <c r="F1019" s="13" t="s">
        <v>18</v>
      </c>
      <c r="G101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1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1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19" s="19">
        <f>IFERROR(INDEX([1]!tb_Vendas[Crédito],MATCH(tb_Auditoria[[#This Row],[Nº CONTRATO]],[1]!tb_Vendas[Nº Contrato],0)),0)</f>
        <v>320000</v>
      </c>
      <c r="K1019" s="21">
        <f>IFERROR(tb_Auditoria[[#This Row],[VALOR ESPERADO]] / tb_Auditoria[[#This Row],[VALOR CRÉDITO]], 0)</f>
        <v>0</v>
      </c>
      <c r="L1019" s="19" t="e">
        <f>SUMIFS([1]!Motor_Comissão[Valor Previsto],[1]!Motor_Comissão[Chave], tb_Auditoria[[#This Row],[Nº CONTRATO]]&amp;"-"&amp;tb_Auditoria[[#This Row],[PARCELA ATUAL]])</f>
        <v>#REF!</v>
      </c>
      <c r="M1019" s="19" t="e">
        <f>tb_Auditoria[[#This Row],[VALOR PAGO]] - tb_Auditoria[[#This Row],[VALOR ESPERADO]]</f>
        <v>#REF!</v>
      </c>
      <c r="N10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0" spans="1:15">
      <c r="A1020" s="9">
        <v>1150094</v>
      </c>
      <c r="B1020" s="10">
        <v>3</v>
      </c>
      <c r="C1020" s="37">
        <v>4.0959999999999998E-3</v>
      </c>
      <c r="D1020" s="12">
        <f>tb_Auditoria[[#This Row],[% TAXA RELATÓRIO]]*tb_Auditoria[[#This Row],[VALOR CRÉDITO]]</f>
        <v>1310.72</v>
      </c>
      <c r="E1020" s="13">
        <v>45946</v>
      </c>
      <c r="F1020" s="13" t="s">
        <v>18</v>
      </c>
      <c r="G102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2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20" s="19">
        <f>IFERROR(INDEX([1]!tb_Vendas[Crédito],MATCH(tb_Auditoria[[#This Row],[Nº CONTRATO]],[1]!tb_Vendas[Nº Contrato],0)),0)</f>
        <v>320000</v>
      </c>
      <c r="K1020" s="21">
        <f>IFERROR(tb_Auditoria[[#This Row],[VALOR ESPERADO]] / tb_Auditoria[[#This Row],[VALOR CRÉDITO]], 0)</f>
        <v>0</v>
      </c>
      <c r="L1020" s="19" t="e">
        <f>SUMIFS([1]!Motor_Comissão[Valor Previsto],[1]!Motor_Comissão[Chave], tb_Auditoria[[#This Row],[Nº CONTRATO]]&amp;"-"&amp;tb_Auditoria[[#This Row],[PARCELA ATUAL]])</f>
        <v>#REF!</v>
      </c>
      <c r="M1020" s="19" t="e">
        <f>tb_Auditoria[[#This Row],[VALOR PAGO]] - tb_Auditoria[[#This Row],[VALOR ESPERADO]]</f>
        <v>#REF!</v>
      </c>
      <c r="N10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1" spans="1:15">
      <c r="A1021" s="9">
        <v>1150094</v>
      </c>
      <c r="B1021" s="10">
        <v>4</v>
      </c>
      <c r="C1021" s="37">
        <v>4.0959999999999998E-3</v>
      </c>
      <c r="D1021" s="12">
        <f>tb_Auditoria[[#This Row],[% TAXA RELATÓRIO]]*tb_Auditoria[[#This Row],[VALOR CRÉDITO]]</f>
        <v>1310.72</v>
      </c>
      <c r="E1021" s="13">
        <v>45980</v>
      </c>
      <c r="F1021" s="13" t="s">
        <v>18</v>
      </c>
      <c r="G102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2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21" s="19">
        <f>IFERROR(INDEX([1]!tb_Vendas[Crédito],MATCH(tb_Auditoria[[#This Row],[Nº CONTRATO]],[1]!tb_Vendas[Nº Contrato],0)),0)</f>
        <v>320000</v>
      </c>
      <c r="K1021" s="21">
        <f>IFERROR(tb_Auditoria[[#This Row],[VALOR ESPERADO]] / tb_Auditoria[[#This Row],[VALOR CRÉDITO]], 0)</f>
        <v>0</v>
      </c>
      <c r="L1021" s="19" t="e">
        <f>SUMIFS([1]!Motor_Comissão[Valor Previsto],[1]!Motor_Comissão[Chave], tb_Auditoria[[#This Row],[Nº CONTRATO]]&amp;"-"&amp;tb_Auditoria[[#This Row],[PARCELA ATUAL]])</f>
        <v>#REF!</v>
      </c>
      <c r="M1021" s="19" t="e">
        <f>tb_Auditoria[[#This Row],[VALOR PAGO]] - tb_Auditoria[[#This Row],[VALOR ESPERADO]]</f>
        <v>#REF!</v>
      </c>
      <c r="N10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2" spans="1:15">
      <c r="A1022" s="9">
        <v>1150094</v>
      </c>
      <c r="B1022" s="10">
        <v>5</v>
      </c>
      <c r="C1022" s="37">
        <v>4.0959999999999998E-3</v>
      </c>
      <c r="D1022" s="12">
        <f>tb_Auditoria[[#This Row],[% TAXA RELATÓRIO]]*tb_Auditoria[[#This Row],[VALOR CRÉDITO]]</f>
        <v>1310.72</v>
      </c>
      <c r="E1022" s="13">
        <v>46008</v>
      </c>
      <c r="F1022" s="13" t="s">
        <v>18</v>
      </c>
      <c r="G102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2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22" s="19">
        <f>IFERROR(INDEX([1]!tb_Vendas[Crédito],MATCH(tb_Auditoria[[#This Row],[Nº CONTRATO]],[1]!tb_Vendas[Nº Contrato],0)),0)</f>
        <v>320000</v>
      </c>
      <c r="K1022" s="21">
        <f>IFERROR(tb_Auditoria[[#This Row],[VALOR ESPERADO]] / tb_Auditoria[[#This Row],[VALOR CRÉDITO]], 0)</f>
        <v>0</v>
      </c>
      <c r="L1022" s="19" t="e">
        <f>SUMIFS([1]!Motor_Comissão[Valor Previsto],[1]!Motor_Comissão[Chave], tb_Auditoria[[#This Row],[Nº CONTRATO]]&amp;"-"&amp;tb_Auditoria[[#This Row],[PARCELA ATUAL]])</f>
        <v>#REF!</v>
      </c>
      <c r="M1022" s="19" t="e">
        <f>tb_Auditoria[[#This Row],[VALOR PAGO]] - tb_Auditoria[[#This Row],[VALOR ESPERADO]]</f>
        <v>#REF!</v>
      </c>
      <c r="N10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3" spans="1:15">
      <c r="A1023" s="9">
        <v>1150094</v>
      </c>
      <c r="B1023" s="10">
        <v>6</v>
      </c>
      <c r="C1023" s="37">
        <v>4.0959999999999998E-3</v>
      </c>
      <c r="D1023" s="12">
        <f>tb_Auditoria[[#This Row],[% TAXA RELATÓRIO]]*tb_Auditoria[[#This Row],[VALOR CRÉDITO]]</f>
        <v>1310.72</v>
      </c>
      <c r="E1023" s="13">
        <v>46038</v>
      </c>
      <c r="F1023" s="13" t="s">
        <v>18</v>
      </c>
      <c r="G102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2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23" s="19">
        <f>IFERROR(INDEX([1]!tb_Vendas[Crédito],MATCH(tb_Auditoria[[#This Row],[Nº CONTRATO]],[1]!tb_Vendas[Nº Contrato],0)),0)</f>
        <v>320000</v>
      </c>
      <c r="K1023" s="21">
        <f>IFERROR(tb_Auditoria[[#This Row],[VALOR ESPERADO]] / tb_Auditoria[[#This Row],[VALOR CRÉDITO]], 0)</f>
        <v>0</v>
      </c>
      <c r="L1023" s="19" t="e">
        <f>SUMIFS([1]!Motor_Comissão[Valor Previsto],[1]!Motor_Comissão[Chave], tb_Auditoria[[#This Row],[Nº CONTRATO]]&amp;"-"&amp;tb_Auditoria[[#This Row],[PARCELA ATUAL]])</f>
        <v>#REF!</v>
      </c>
      <c r="M1023" s="19" t="e">
        <f>tb_Auditoria[[#This Row],[VALOR PAGO]] - tb_Auditoria[[#This Row],[VALOR ESPERADO]]</f>
        <v>#REF!</v>
      </c>
      <c r="N10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4" spans="1:15">
      <c r="A1024" s="9">
        <v>1150094</v>
      </c>
      <c r="B1024" s="10">
        <v>7</v>
      </c>
      <c r="C1024" s="37">
        <v>1.856E-3</v>
      </c>
      <c r="D1024" s="12">
        <f>tb_Auditoria[[#This Row],[% TAXA RELATÓRIO]]*tb_Auditoria[[#This Row],[VALOR CRÉDITO]]</f>
        <v>593.91999999999996</v>
      </c>
      <c r="E1024" s="13">
        <v>46072</v>
      </c>
      <c r="F1024" s="13" t="s">
        <v>18</v>
      </c>
      <c r="G102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2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24" s="19">
        <f>IFERROR(INDEX([1]!tb_Vendas[Crédito],MATCH(tb_Auditoria[[#This Row],[Nº CONTRATO]],[1]!tb_Vendas[Nº Contrato],0)),0)</f>
        <v>320000</v>
      </c>
      <c r="K1024" s="21">
        <f>IFERROR(tb_Auditoria[[#This Row],[VALOR ESPERADO]] / tb_Auditoria[[#This Row],[VALOR CRÉDITO]], 0)</f>
        <v>0</v>
      </c>
      <c r="L1024" s="19" t="e">
        <f>SUMIFS([1]!Motor_Comissão[Valor Previsto],[1]!Motor_Comissão[Chave], tb_Auditoria[[#This Row],[Nº CONTRATO]]&amp;"-"&amp;tb_Auditoria[[#This Row],[PARCELA ATUAL]])</f>
        <v>#REF!</v>
      </c>
      <c r="M1024" s="19" t="e">
        <f>tb_Auditoria[[#This Row],[VALOR PAGO]] - tb_Auditoria[[#This Row],[VALOR ESPERADO]]</f>
        <v>#REF!</v>
      </c>
      <c r="N10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5" spans="1:15">
      <c r="A1025" s="9">
        <v>1150094</v>
      </c>
      <c r="B1025" s="10">
        <v>8</v>
      </c>
      <c r="C1025" s="37">
        <v>1.856E-3</v>
      </c>
      <c r="D1025" s="12">
        <f>tb_Auditoria[[#This Row],[% TAXA RELATÓRIO]]*tb_Auditoria[[#This Row],[VALOR CRÉDITO]]</f>
        <v>593.91999999999996</v>
      </c>
      <c r="E1025" s="13">
        <v>46100</v>
      </c>
      <c r="F1025" s="13" t="s">
        <v>18</v>
      </c>
      <c r="G102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2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25" s="19">
        <f>IFERROR(INDEX([1]!tb_Vendas[Crédito],MATCH(tb_Auditoria[[#This Row],[Nº CONTRATO]],[1]!tb_Vendas[Nº Contrato],0)),0)</f>
        <v>320000</v>
      </c>
      <c r="K1025" s="21">
        <f>IFERROR(tb_Auditoria[[#This Row],[VALOR ESPERADO]] / tb_Auditoria[[#This Row],[VALOR CRÉDITO]], 0)</f>
        <v>0</v>
      </c>
      <c r="L1025" s="19" t="e">
        <f>SUMIFS([1]!Motor_Comissão[Valor Previsto],[1]!Motor_Comissão[Chave], tb_Auditoria[[#This Row],[Nº CONTRATO]]&amp;"-"&amp;tb_Auditoria[[#This Row],[PARCELA ATUAL]])</f>
        <v>#REF!</v>
      </c>
      <c r="M1025" s="19" t="e">
        <f>tb_Auditoria[[#This Row],[VALOR PAGO]] - tb_Auditoria[[#This Row],[VALOR ESPERADO]]</f>
        <v>#REF!</v>
      </c>
      <c r="N10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6" spans="1:15">
      <c r="A1026" s="9">
        <v>1150094</v>
      </c>
      <c r="B1026" s="10">
        <v>9</v>
      </c>
      <c r="C1026" s="37">
        <v>1.856E-3</v>
      </c>
      <c r="D1026" s="12">
        <f>tb_Auditoria[[#This Row],[% TAXA RELATÓRIO]]*tb_Auditoria[[#This Row],[VALOR CRÉDITO]]</f>
        <v>593.91999999999996</v>
      </c>
      <c r="E1026" s="13">
        <v>46129</v>
      </c>
      <c r="F1026" s="13" t="s">
        <v>18</v>
      </c>
      <c r="G102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2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26" s="19">
        <f>IFERROR(INDEX([1]!tb_Vendas[Crédito],MATCH(tb_Auditoria[[#This Row],[Nº CONTRATO]],[1]!tb_Vendas[Nº Contrato],0)),0)</f>
        <v>320000</v>
      </c>
      <c r="K1026" s="21">
        <f>IFERROR(tb_Auditoria[[#This Row],[VALOR ESPERADO]] / tb_Auditoria[[#This Row],[VALOR CRÉDITO]], 0)</f>
        <v>0</v>
      </c>
      <c r="L1026" s="19" t="e">
        <f>SUMIFS([1]!Motor_Comissão[Valor Previsto],[1]!Motor_Comissão[Chave], tb_Auditoria[[#This Row],[Nº CONTRATO]]&amp;"-"&amp;tb_Auditoria[[#This Row],[PARCELA ATUAL]])</f>
        <v>#REF!</v>
      </c>
      <c r="M1026" s="19" t="e">
        <f>tb_Auditoria[[#This Row],[VALOR PAGO]] - tb_Auditoria[[#This Row],[VALOR ESPERADO]]</f>
        <v>#REF!</v>
      </c>
      <c r="N10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7" spans="1:15">
      <c r="A1027" s="9">
        <v>1150094</v>
      </c>
      <c r="B1027" s="10">
        <v>10</v>
      </c>
      <c r="C1027" s="37">
        <v>1.856E-3</v>
      </c>
      <c r="D1027" s="12">
        <f>tb_Auditoria[[#This Row],[% TAXA RELATÓRIO]]*tb_Auditoria[[#This Row],[VALOR CRÉDITO]]</f>
        <v>593.91999999999996</v>
      </c>
      <c r="E1027" s="13">
        <v>46161</v>
      </c>
      <c r="F1027" s="13" t="s">
        <v>18</v>
      </c>
      <c r="G102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2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27" s="19">
        <f>IFERROR(INDEX([1]!tb_Vendas[Crédito],MATCH(tb_Auditoria[[#This Row],[Nº CONTRATO]],[1]!tb_Vendas[Nº Contrato],0)),0)</f>
        <v>320000</v>
      </c>
      <c r="K1027" s="21">
        <f>IFERROR(tb_Auditoria[[#This Row],[VALOR ESPERADO]] / tb_Auditoria[[#This Row],[VALOR CRÉDITO]], 0)</f>
        <v>0</v>
      </c>
      <c r="L1027" s="19" t="e">
        <f>SUMIFS([1]!Motor_Comissão[Valor Previsto],[1]!Motor_Comissão[Chave], tb_Auditoria[[#This Row],[Nº CONTRATO]]&amp;"-"&amp;tb_Auditoria[[#This Row],[PARCELA ATUAL]])</f>
        <v>#REF!</v>
      </c>
      <c r="M1027" s="19" t="e">
        <f>tb_Auditoria[[#This Row],[VALOR PAGO]] - tb_Auditoria[[#This Row],[VALOR ESPERADO]]</f>
        <v>#REF!</v>
      </c>
      <c r="N10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8" spans="1:15">
      <c r="A1028" s="9">
        <v>1150096</v>
      </c>
      <c r="B1028" s="10">
        <v>1</v>
      </c>
      <c r="C1028" s="37">
        <v>4.0959999999999998E-3</v>
      </c>
      <c r="D1028" s="12">
        <f>tb_Auditoria[[#This Row],[% TAXA RELATÓRIO]]*tb_Auditoria[[#This Row],[VALOR CRÉDITO]]</f>
        <v>1310.72</v>
      </c>
      <c r="E1028" s="13">
        <v>45887</v>
      </c>
      <c r="F1028" s="13" t="s">
        <v>18</v>
      </c>
      <c r="G102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2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28" s="19">
        <f>IFERROR(INDEX([1]!tb_Vendas[Crédito],MATCH(tb_Auditoria[[#This Row],[Nº CONTRATO]],[1]!tb_Vendas[Nº Contrato],0)),0)</f>
        <v>320000</v>
      </c>
      <c r="K1028" s="21">
        <f>IFERROR(tb_Auditoria[[#This Row],[VALOR ESPERADO]] / tb_Auditoria[[#This Row],[VALOR CRÉDITO]], 0)</f>
        <v>0</v>
      </c>
      <c r="L1028" s="19" t="e">
        <f>SUMIFS([1]!Motor_Comissão[Valor Previsto],[1]!Motor_Comissão[Chave], tb_Auditoria[[#This Row],[Nº CONTRATO]]&amp;"-"&amp;tb_Auditoria[[#This Row],[PARCELA ATUAL]])</f>
        <v>#REF!</v>
      </c>
      <c r="M1028" s="19" t="e">
        <f>tb_Auditoria[[#This Row],[VALOR PAGO]] - tb_Auditoria[[#This Row],[VALOR ESPERADO]]</f>
        <v>#REF!</v>
      </c>
      <c r="N10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29" spans="1:15">
      <c r="A1029" s="30">
        <v>1150096</v>
      </c>
      <c r="B1029" s="25">
        <v>2</v>
      </c>
      <c r="C1029" s="37">
        <v>4.0959999999999998E-3</v>
      </c>
      <c r="D1029" s="32">
        <f>tb_Auditoria[[#This Row],[% TAXA RELATÓRIO]]*tb_Auditoria[[#This Row],[VALOR CRÉDITO]]</f>
        <v>1310.72</v>
      </c>
      <c r="E1029" s="29">
        <v>45918</v>
      </c>
      <c r="F1029" s="13" t="s">
        <v>18</v>
      </c>
      <c r="G1029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29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29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29" s="23">
        <f>IFERROR(INDEX([1]!tb_Vendas[Crédito],MATCH(tb_Auditoria[[#This Row],[Nº CONTRATO]],[1]!tb_Vendas[Nº Contrato],0)),0)</f>
        <v>320000</v>
      </c>
      <c r="K1029" s="22">
        <f>IFERROR(tb_Auditoria[[#This Row],[VALOR ESPERADO]] / tb_Auditoria[[#This Row],[VALOR CRÉDITO]], 0)</f>
        <v>0</v>
      </c>
      <c r="L1029" s="23" t="e">
        <f>SUMIFS([1]!Motor_Comissão[Valor Previsto],[1]!Motor_Comissão[Chave], tb_Auditoria[[#This Row],[Nº CONTRATO]]&amp;"-"&amp;tb_Auditoria[[#This Row],[PARCELA ATUAL]])</f>
        <v>#REF!</v>
      </c>
      <c r="M1029" s="23" t="e">
        <f>tb_Auditoria[[#This Row],[VALOR PAGO]] - tb_Auditoria[[#This Row],[VALOR ESPERADO]]</f>
        <v>#REF!</v>
      </c>
      <c r="N1029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29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0" spans="1:15">
      <c r="A1030" s="9">
        <v>1150096</v>
      </c>
      <c r="B1030" s="10">
        <v>3</v>
      </c>
      <c r="C1030" s="37">
        <v>4.0959999999999998E-3</v>
      </c>
      <c r="D1030" s="12">
        <f>tb_Auditoria[[#This Row],[% TAXA RELATÓRIO]]*tb_Auditoria[[#This Row],[VALOR CRÉDITO]]</f>
        <v>1310.72</v>
      </c>
      <c r="E1030" s="13">
        <v>45946</v>
      </c>
      <c r="F1030" s="13" t="s">
        <v>18</v>
      </c>
      <c r="G103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3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30" s="19">
        <f>IFERROR(INDEX([1]!tb_Vendas[Crédito],MATCH(tb_Auditoria[[#This Row],[Nº CONTRATO]],[1]!tb_Vendas[Nº Contrato],0)),0)</f>
        <v>320000</v>
      </c>
      <c r="K1030" s="21">
        <f>IFERROR(tb_Auditoria[[#This Row],[VALOR ESPERADO]] / tb_Auditoria[[#This Row],[VALOR CRÉDITO]], 0)</f>
        <v>0</v>
      </c>
      <c r="L1030" s="19" t="e">
        <f>SUMIFS([1]!Motor_Comissão[Valor Previsto],[1]!Motor_Comissão[Chave], tb_Auditoria[[#This Row],[Nº CONTRATO]]&amp;"-"&amp;tb_Auditoria[[#This Row],[PARCELA ATUAL]])</f>
        <v>#REF!</v>
      </c>
      <c r="M1030" s="19" t="e">
        <f>tb_Auditoria[[#This Row],[VALOR PAGO]] - tb_Auditoria[[#This Row],[VALOR ESPERADO]]</f>
        <v>#REF!</v>
      </c>
      <c r="N10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1" spans="1:15">
      <c r="A1031" s="9">
        <v>1150096</v>
      </c>
      <c r="B1031" s="10">
        <v>4</v>
      </c>
      <c r="C1031" s="37">
        <v>4.0959999999999998E-3</v>
      </c>
      <c r="D1031" s="12">
        <f>tb_Auditoria[[#This Row],[% TAXA RELATÓRIO]]*tb_Auditoria[[#This Row],[VALOR CRÉDITO]]</f>
        <v>1310.72</v>
      </c>
      <c r="E1031" s="13">
        <v>45980</v>
      </c>
      <c r="F1031" s="13" t="s">
        <v>18</v>
      </c>
      <c r="G103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3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31" s="19">
        <f>IFERROR(INDEX([1]!tb_Vendas[Crédito],MATCH(tb_Auditoria[[#This Row],[Nº CONTRATO]],[1]!tb_Vendas[Nº Contrato],0)),0)</f>
        <v>320000</v>
      </c>
      <c r="K1031" s="21">
        <f>IFERROR(tb_Auditoria[[#This Row],[VALOR ESPERADO]] / tb_Auditoria[[#This Row],[VALOR CRÉDITO]], 0)</f>
        <v>0</v>
      </c>
      <c r="L1031" s="19" t="e">
        <f>SUMIFS([1]!Motor_Comissão[Valor Previsto],[1]!Motor_Comissão[Chave], tb_Auditoria[[#This Row],[Nº CONTRATO]]&amp;"-"&amp;tb_Auditoria[[#This Row],[PARCELA ATUAL]])</f>
        <v>#REF!</v>
      </c>
      <c r="M1031" s="19" t="e">
        <f>tb_Auditoria[[#This Row],[VALOR PAGO]] - tb_Auditoria[[#This Row],[VALOR ESPERADO]]</f>
        <v>#REF!</v>
      </c>
      <c r="N10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2" spans="1:15">
      <c r="A1032" s="30">
        <v>1150096</v>
      </c>
      <c r="B1032" s="25">
        <v>5</v>
      </c>
      <c r="C1032" s="37">
        <v>4.0959999999999998E-3</v>
      </c>
      <c r="D1032" s="32">
        <f>tb_Auditoria[[#This Row],[% TAXA RELATÓRIO]]*tb_Auditoria[[#This Row],[VALOR CRÉDITO]]</f>
        <v>1310.72</v>
      </c>
      <c r="E1032" s="29">
        <v>46008</v>
      </c>
      <c r="F1032" s="13" t="s">
        <v>18</v>
      </c>
      <c r="G1032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2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32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32" s="23">
        <f>IFERROR(INDEX([1]!tb_Vendas[Crédito],MATCH(tb_Auditoria[[#This Row],[Nº CONTRATO]],[1]!tb_Vendas[Nº Contrato],0)),0)</f>
        <v>320000</v>
      </c>
      <c r="K1032" s="22">
        <f>IFERROR(tb_Auditoria[[#This Row],[VALOR ESPERADO]] / tb_Auditoria[[#This Row],[VALOR CRÉDITO]], 0)</f>
        <v>0</v>
      </c>
      <c r="L1032" s="23" t="e">
        <f>SUMIFS([1]!Motor_Comissão[Valor Previsto],[1]!Motor_Comissão[Chave], tb_Auditoria[[#This Row],[Nº CONTRATO]]&amp;"-"&amp;tb_Auditoria[[#This Row],[PARCELA ATUAL]])</f>
        <v>#REF!</v>
      </c>
      <c r="M1032" s="23" t="e">
        <f>tb_Auditoria[[#This Row],[VALOR PAGO]] - tb_Auditoria[[#This Row],[VALOR ESPERADO]]</f>
        <v>#REF!</v>
      </c>
      <c r="N1032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2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3" spans="1:15">
      <c r="A1033" s="30">
        <v>1150096</v>
      </c>
      <c r="B1033" s="25">
        <v>6</v>
      </c>
      <c r="C1033" s="40">
        <v>4.0959999999999998E-3</v>
      </c>
      <c r="D1033" s="32">
        <f>tb_Auditoria[[#This Row],[% TAXA RELATÓRIO]]*tb_Auditoria[[#This Row],[VALOR CRÉDITO]]</f>
        <v>1310.72</v>
      </c>
      <c r="E1033" s="29">
        <v>46038</v>
      </c>
      <c r="F1033" s="29" t="s">
        <v>18</v>
      </c>
      <c r="G1033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3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33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33" s="23">
        <f>IFERROR(INDEX([1]!tb_Vendas[Crédito],MATCH(tb_Auditoria[[#This Row],[Nº CONTRATO]],[1]!tb_Vendas[Nº Contrato],0)),0)</f>
        <v>320000</v>
      </c>
      <c r="K1033" s="22">
        <f>IFERROR(tb_Auditoria[[#This Row],[VALOR ESPERADO]] / tb_Auditoria[[#This Row],[VALOR CRÉDITO]], 0)</f>
        <v>0</v>
      </c>
      <c r="L1033" s="23" t="e">
        <f>SUMIFS([1]!Motor_Comissão[Valor Previsto],[1]!Motor_Comissão[Chave], tb_Auditoria[[#This Row],[Nº CONTRATO]]&amp;"-"&amp;tb_Auditoria[[#This Row],[PARCELA ATUAL]])</f>
        <v>#REF!</v>
      </c>
      <c r="M1033" s="23" t="e">
        <f>tb_Auditoria[[#This Row],[VALOR PAGO]] - tb_Auditoria[[#This Row],[VALOR ESPERADO]]</f>
        <v>#REF!</v>
      </c>
      <c r="N1033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3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4" spans="1:15">
      <c r="A1034" s="30">
        <v>1150096</v>
      </c>
      <c r="B1034" s="25">
        <v>7</v>
      </c>
      <c r="C1034" s="40">
        <v>1.856E-3</v>
      </c>
      <c r="D1034" s="32">
        <f>tb_Auditoria[[#This Row],[% TAXA RELATÓRIO]]*tb_Auditoria[[#This Row],[VALOR CRÉDITO]]</f>
        <v>593.91999999999996</v>
      </c>
      <c r="E1034" s="29">
        <v>46072</v>
      </c>
      <c r="F1034" s="29" t="s">
        <v>18</v>
      </c>
      <c r="G1034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4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34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34" s="23">
        <f>IFERROR(INDEX([1]!tb_Vendas[Crédito],MATCH(tb_Auditoria[[#This Row],[Nº CONTRATO]],[1]!tb_Vendas[Nº Contrato],0)),0)</f>
        <v>320000</v>
      </c>
      <c r="K1034" s="22">
        <f>IFERROR(tb_Auditoria[[#This Row],[VALOR ESPERADO]] / tb_Auditoria[[#This Row],[VALOR CRÉDITO]], 0)</f>
        <v>0</v>
      </c>
      <c r="L1034" s="23" t="e">
        <f>SUMIFS([1]!Motor_Comissão[Valor Previsto],[1]!Motor_Comissão[Chave], tb_Auditoria[[#This Row],[Nº CONTRATO]]&amp;"-"&amp;tb_Auditoria[[#This Row],[PARCELA ATUAL]])</f>
        <v>#REF!</v>
      </c>
      <c r="M1034" s="23" t="e">
        <f>tb_Auditoria[[#This Row],[VALOR PAGO]] - tb_Auditoria[[#This Row],[VALOR ESPERADO]]</f>
        <v>#REF!</v>
      </c>
      <c r="N1034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4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5" spans="1:15">
      <c r="A1035" s="30">
        <v>1150096</v>
      </c>
      <c r="B1035" s="25">
        <v>8</v>
      </c>
      <c r="C1035" s="40">
        <v>1.856E-3</v>
      </c>
      <c r="D1035" s="32">
        <f>tb_Auditoria[[#This Row],[% TAXA RELATÓRIO]]*tb_Auditoria[[#This Row],[VALOR CRÉDITO]]</f>
        <v>593.91999999999996</v>
      </c>
      <c r="E1035" s="29">
        <v>46100</v>
      </c>
      <c r="F1035" s="29" t="s">
        <v>18</v>
      </c>
      <c r="G1035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5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35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35" s="23">
        <f>IFERROR(INDEX([1]!tb_Vendas[Crédito],MATCH(tb_Auditoria[[#This Row],[Nº CONTRATO]],[1]!tb_Vendas[Nº Contrato],0)),0)</f>
        <v>320000</v>
      </c>
      <c r="K1035" s="22">
        <f>IFERROR(tb_Auditoria[[#This Row],[VALOR ESPERADO]] / tb_Auditoria[[#This Row],[VALOR CRÉDITO]], 0)</f>
        <v>0</v>
      </c>
      <c r="L1035" s="23" t="e">
        <f>SUMIFS([1]!Motor_Comissão[Valor Previsto],[1]!Motor_Comissão[Chave], tb_Auditoria[[#This Row],[Nº CONTRATO]]&amp;"-"&amp;tb_Auditoria[[#This Row],[PARCELA ATUAL]])</f>
        <v>#REF!</v>
      </c>
      <c r="M1035" s="23" t="e">
        <f>tb_Auditoria[[#This Row],[VALOR PAGO]] - tb_Auditoria[[#This Row],[VALOR ESPERADO]]</f>
        <v>#REF!</v>
      </c>
      <c r="N1035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5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6" spans="1:15">
      <c r="A1036" s="9">
        <v>1150096</v>
      </c>
      <c r="B1036" s="10">
        <v>9</v>
      </c>
      <c r="C1036" s="37">
        <v>1.856E-3</v>
      </c>
      <c r="D1036" s="12">
        <f>tb_Auditoria[[#This Row],[% TAXA RELATÓRIO]]*tb_Auditoria[[#This Row],[VALOR CRÉDITO]]</f>
        <v>593.91999999999996</v>
      </c>
      <c r="E1036" s="13">
        <v>46129</v>
      </c>
      <c r="F1036" s="13" t="s">
        <v>18</v>
      </c>
      <c r="G103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3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36" s="19">
        <f>IFERROR(INDEX([1]!tb_Vendas[Crédito],MATCH(tb_Auditoria[[#This Row],[Nº CONTRATO]],[1]!tb_Vendas[Nº Contrato],0)),0)</f>
        <v>320000</v>
      </c>
      <c r="K1036" s="21">
        <f>IFERROR(tb_Auditoria[[#This Row],[VALOR ESPERADO]] / tb_Auditoria[[#This Row],[VALOR CRÉDITO]], 0)</f>
        <v>0</v>
      </c>
      <c r="L1036" s="19" t="e">
        <f>SUMIFS([1]!Motor_Comissão[Valor Previsto],[1]!Motor_Comissão[Chave], tb_Auditoria[[#This Row],[Nº CONTRATO]]&amp;"-"&amp;tb_Auditoria[[#This Row],[PARCELA ATUAL]])</f>
        <v>#REF!</v>
      </c>
      <c r="M1036" s="19" t="e">
        <f>tb_Auditoria[[#This Row],[VALOR PAGO]] - tb_Auditoria[[#This Row],[VALOR ESPERADO]]</f>
        <v>#REF!</v>
      </c>
      <c r="N10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7" spans="1:15">
      <c r="A1037" s="9">
        <v>1150096</v>
      </c>
      <c r="B1037" s="10">
        <v>10</v>
      </c>
      <c r="C1037" s="37">
        <v>1.856E-3</v>
      </c>
      <c r="D1037" s="12">
        <f>tb_Auditoria[[#This Row],[% TAXA RELATÓRIO]]*tb_Auditoria[[#This Row],[VALOR CRÉDITO]]</f>
        <v>593.91999999999996</v>
      </c>
      <c r="E1037" s="13">
        <v>46161</v>
      </c>
      <c r="F1037" s="13" t="s">
        <v>18</v>
      </c>
      <c r="G103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ROGERIO MARTINS SOUSA</v>
      </c>
      <c r="I103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37" s="19">
        <f>IFERROR(INDEX([1]!tb_Vendas[Crédito],MATCH(tb_Auditoria[[#This Row],[Nº CONTRATO]],[1]!tb_Vendas[Nº Contrato],0)),0)</f>
        <v>320000</v>
      </c>
      <c r="K1037" s="21">
        <f>IFERROR(tb_Auditoria[[#This Row],[VALOR ESPERADO]] / tb_Auditoria[[#This Row],[VALOR CRÉDITO]], 0)</f>
        <v>0</v>
      </c>
      <c r="L1037" s="19" t="e">
        <f>SUMIFS([1]!Motor_Comissão[Valor Previsto],[1]!Motor_Comissão[Chave], tb_Auditoria[[#This Row],[Nº CONTRATO]]&amp;"-"&amp;tb_Auditoria[[#This Row],[PARCELA ATUAL]])</f>
        <v>#REF!</v>
      </c>
      <c r="M1037" s="19" t="e">
        <f>tb_Auditoria[[#This Row],[VALOR PAGO]] - tb_Auditoria[[#This Row],[VALOR ESPERADO]]</f>
        <v>#REF!</v>
      </c>
      <c r="N10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8" spans="1:15">
      <c r="A1038" s="9">
        <v>1150515</v>
      </c>
      <c r="B1038" s="10">
        <v>1</v>
      </c>
      <c r="C1038" s="37">
        <v>5.0239999999999998E-3</v>
      </c>
      <c r="D1038" s="12">
        <f>tb_Auditoria[[#This Row],[% TAXA RELATÓRIO]]*tb_Auditoria[[#This Row],[VALOR CRÉDITO]]</f>
        <v>351.68</v>
      </c>
      <c r="E1038" s="13">
        <v>45887</v>
      </c>
      <c r="F1038" s="13" t="s">
        <v>18</v>
      </c>
      <c r="G103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Martins Sousa</v>
      </c>
      <c r="I103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38" s="19">
        <f>IFERROR(INDEX([1]!tb_Vendas[Crédito],MATCH(tb_Auditoria[[#This Row],[Nº CONTRATO]],[1]!tb_Vendas[Nº Contrato],0)),0)</f>
        <v>70000</v>
      </c>
      <c r="K1038" s="21">
        <f>IFERROR(tb_Auditoria[[#This Row],[VALOR ESPERADO]] / tb_Auditoria[[#This Row],[VALOR CRÉDITO]], 0)</f>
        <v>0</v>
      </c>
      <c r="L1038" s="19" t="e">
        <f>SUMIFS([1]!Motor_Comissão[Valor Previsto],[1]!Motor_Comissão[Chave], tb_Auditoria[[#This Row],[Nº CONTRATO]]&amp;"-"&amp;tb_Auditoria[[#This Row],[PARCELA ATUAL]])</f>
        <v>#REF!</v>
      </c>
      <c r="M1038" s="19" t="e">
        <f>tb_Auditoria[[#This Row],[VALOR PAGO]] - tb_Auditoria[[#This Row],[VALOR ESPERADO]]</f>
        <v>#REF!</v>
      </c>
      <c r="N10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39" spans="1:15">
      <c r="A1039" s="9">
        <v>1151218</v>
      </c>
      <c r="B1039" s="10">
        <v>1</v>
      </c>
      <c r="C1039" s="37">
        <v>6.28E-3</v>
      </c>
      <c r="D1039" s="12">
        <f>tb_Auditoria[[#This Row],[% TAXA RELATÓRIO]]*tb_Auditoria[[#This Row],[VALOR CRÉDITO]]</f>
        <v>659.4</v>
      </c>
      <c r="E1039" s="13">
        <v>45918</v>
      </c>
      <c r="F1039" s="13" t="s">
        <v>18</v>
      </c>
      <c r="G103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3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3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39" s="19">
        <f>IFERROR(INDEX([1]!tb_Vendas[Crédito],MATCH(tb_Auditoria[[#This Row],[Nº CONTRATO]],[1]!tb_Vendas[Nº Contrato],0)),0)</f>
        <v>105000</v>
      </c>
      <c r="K1039" s="21">
        <f>IFERROR(tb_Auditoria[[#This Row],[VALOR ESPERADO]] / tb_Auditoria[[#This Row],[VALOR CRÉDITO]], 0)</f>
        <v>0</v>
      </c>
      <c r="L1039" s="19" t="e">
        <f>SUMIFS([1]!Motor_Comissão[Valor Previsto],[1]!Motor_Comissão[Chave], tb_Auditoria[[#This Row],[Nº CONTRATO]]&amp;"-"&amp;tb_Auditoria[[#This Row],[PARCELA ATUAL]])</f>
        <v>#REF!</v>
      </c>
      <c r="M1039" s="19" t="e">
        <f>tb_Auditoria[[#This Row],[VALOR PAGO]] - tb_Auditoria[[#This Row],[VALOR ESPERADO]]</f>
        <v>#REF!</v>
      </c>
      <c r="N10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0" spans="1:15">
      <c r="A1040" s="9">
        <v>1151218</v>
      </c>
      <c r="B1040" s="10">
        <v>2</v>
      </c>
      <c r="C1040" s="37">
        <v>6.28E-3</v>
      </c>
      <c r="D1040" s="12">
        <f>tb_Auditoria[[#This Row],[% TAXA RELATÓRIO]]*tb_Auditoria[[#This Row],[VALOR CRÉDITO]]</f>
        <v>659.4</v>
      </c>
      <c r="E1040" s="13">
        <v>45946</v>
      </c>
      <c r="F1040" s="13" t="s">
        <v>18</v>
      </c>
      <c r="G104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4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40" s="19">
        <f>IFERROR(INDEX([1]!tb_Vendas[Crédito],MATCH(tb_Auditoria[[#This Row],[Nº CONTRATO]],[1]!tb_Vendas[Nº Contrato],0)),0)</f>
        <v>105000</v>
      </c>
      <c r="K1040" s="21">
        <f>IFERROR(tb_Auditoria[[#This Row],[VALOR ESPERADO]] / tb_Auditoria[[#This Row],[VALOR CRÉDITO]], 0)</f>
        <v>0</v>
      </c>
      <c r="L1040" s="19" t="e">
        <f>SUMIFS([1]!Motor_Comissão[Valor Previsto],[1]!Motor_Comissão[Chave], tb_Auditoria[[#This Row],[Nº CONTRATO]]&amp;"-"&amp;tb_Auditoria[[#This Row],[PARCELA ATUAL]])</f>
        <v>#REF!</v>
      </c>
      <c r="M1040" s="19" t="e">
        <f>tb_Auditoria[[#This Row],[VALOR PAGO]] - tb_Auditoria[[#This Row],[VALOR ESPERADO]]</f>
        <v>#REF!</v>
      </c>
      <c r="N10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1" spans="1:15">
      <c r="A1041" s="9">
        <v>1151218</v>
      </c>
      <c r="B1041" s="10">
        <v>3</v>
      </c>
      <c r="C1041" s="37">
        <v>6.28E-3</v>
      </c>
      <c r="D1041" s="12">
        <f>tb_Auditoria[[#This Row],[% TAXA RELATÓRIO]]*tb_Auditoria[[#This Row],[VALOR CRÉDITO]]</f>
        <v>659.4</v>
      </c>
      <c r="E1041" s="13">
        <v>45980</v>
      </c>
      <c r="F1041" s="13" t="s">
        <v>18</v>
      </c>
      <c r="G104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4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41" s="19">
        <f>IFERROR(INDEX([1]!tb_Vendas[Crédito],MATCH(tb_Auditoria[[#This Row],[Nº CONTRATO]],[1]!tb_Vendas[Nº Contrato],0)),0)</f>
        <v>105000</v>
      </c>
      <c r="K1041" s="21">
        <f>IFERROR(tb_Auditoria[[#This Row],[VALOR ESPERADO]] / tb_Auditoria[[#This Row],[VALOR CRÉDITO]], 0)</f>
        <v>0</v>
      </c>
      <c r="L1041" s="19" t="e">
        <f>SUMIFS([1]!Motor_Comissão[Valor Previsto],[1]!Motor_Comissão[Chave], tb_Auditoria[[#This Row],[Nº CONTRATO]]&amp;"-"&amp;tb_Auditoria[[#This Row],[PARCELA ATUAL]])</f>
        <v>#REF!</v>
      </c>
      <c r="M1041" s="19" t="e">
        <f>tb_Auditoria[[#This Row],[VALOR PAGO]] - tb_Auditoria[[#This Row],[VALOR ESPERADO]]</f>
        <v>#REF!</v>
      </c>
      <c r="N10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2" spans="1:15">
      <c r="A1042" s="9">
        <v>1151218</v>
      </c>
      <c r="B1042" s="10">
        <v>4</v>
      </c>
      <c r="C1042" s="37">
        <v>6.28E-3</v>
      </c>
      <c r="D1042" s="12">
        <f>tb_Auditoria[[#This Row],[% TAXA RELATÓRIO]]*tb_Auditoria[[#This Row],[VALOR CRÉDITO]]</f>
        <v>659.4</v>
      </c>
      <c r="E1042" s="13">
        <v>46008</v>
      </c>
      <c r="F1042" s="13" t="s">
        <v>18</v>
      </c>
      <c r="G104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4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42" s="19">
        <f>IFERROR(INDEX([1]!tb_Vendas[Crédito],MATCH(tb_Auditoria[[#This Row],[Nº CONTRATO]],[1]!tb_Vendas[Nº Contrato],0)),0)</f>
        <v>105000</v>
      </c>
      <c r="K1042" s="21">
        <f>IFERROR(tb_Auditoria[[#This Row],[VALOR ESPERADO]] / tb_Auditoria[[#This Row],[VALOR CRÉDITO]], 0)</f>
        <v>0</v>
      </c>
      <c r="L1042" s="19" t="e">
        <f>SUMIFS([1]!Motor_Comissão[Valor Previsto],[1]!Motor_Comissão[Chave], tb_Auditoria[[#This Row],[Nº CONTRATO]]&amp;"-"&amp;tb_Auditoria[[#This Row],[PARCELA ATUAL]])</f>
        <v>#REF!</v>
      </c>
      <c r="M1042" s="19" t="e">
        <f>tb_Auditoria[[#This Row],[VALOR PAGO]] - tb_Auditoria[[#This Row],[VALOR ESPERADO]]</f>
        <v>#REF!</v>
      </c>
      <c r="N10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3" spans="1:15">
      <c r="A1043" s="9">
        <v>1151218</v>
      </c>
      <c r="B1043" s="10">
        <v>5</v>
      </c>
      <c r="C1043" s="37">
        <v>2.48E-3</v>
      </c>
      <c r="D1043" s="12">
        <f>tb_Auditoria[[#This Row],[% TAXA RELATÓRIO]]*tb_Auditoria[[#This Row],[VALOR CRÉDITO]]</f>
        <v>260.39999999999998</v>
      </c>
      <c r="E1043" s="13">
        <v>46038</v>
      </c>
      <c r="F1043" s="13" t="s">
        <v>18</v>
      </c>
      <c r="G104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4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43" s="19">
        <f>IFERROR(INDEX([1]!tb_Vendas[Crédito],MATCH(tb_Auditoria[[#This Row],[Nº CONTRATO]],[1]!tb_Vendas[Nº Contrato],0)),0)</f>
        <v>105000</v>
      </c>
      <c r="K1043" s="21">
        <f>IFERROR(tb_Auditoria[[#This Row],[VALOR ESPERADO]] / tb_Auditoria[[#This Row],[VALOR CRÉDITO]], 0)</f>
        <v>0</v>
      </c>
      <c r="L1043" s="19" t="e">
        <f>SUMIFS([1]!Motor_Comissão[Valor Previsto],[1]!Motor_Comissão[Chave], tb_Auditoria[[#This Row],[Nº CONTRATO]]&amp;"-"&amp;tb_Auditoria[[#This Row],[PARCELA ATUAL]])</f>
        <v>#REF!</v>
      </c>
      <c r="M1043" s="19" t="e">
        <f>tb_Auditoria[[#This Row],[VALOR PAGO]] - tb_Auditoria[[#This Row],[VALOR ESPERADO]]</f>
        <v>#REF!</v>
      </c>
      <c r="N10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4" spans="1:15">
      <c r="A1044" s="9">
        <v>1151218</v>
      </c>
      <c r="B1044" s="10">
        <v>6</v>
      </c>
      <c r="C1044" s="37">
        <v>2.48E-3</v>
      </c>
      <c r="D1044" s="12">
        <f>tb_Auditoria[[#This Row],[% TAXA RELATÓRIO]]*tb_Auditoria[[#This Row],[VALOR CRÉDITO]]</f>
        <v>260.39999999999998</v>
      </c>
      <c r="E1044" s="13">
        <v>46072</v>
      </c>
      <c r="F1044" s="13" t="s">
        <v>18</v>
      </c>
      <c r="G104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4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44" s="19">
        <f>IFERROR(INDEX([1]!tb_Vendas[Crédito],MATCH(tb_Auditoria[[#This Row],[Nº CONTRATO]],[1]!tb_Vendas[Nº Contrato],0)),0)</f>
        <v>105000</v>
      </c>
      <c r="K1044" s="21">
        <f>IFERROR(tb_Auditoria[[#This Row],[VALOR ESPERADO]] / tb_Auditoria[[#This Row],[VALOR CRÉDITO]], 0)</f>
        <v>0</v>
      </c>
      <c r="L1044" s="19" t="e">
        <f>SUMIFS([1]!Motor_Comissão[Valor Previsto],[1]!Motor_Comissão[Chave], tb_Auditoria[[#This Row],[Nº CONTRATO]]&amp;"-"&amp;tb_Auditoria[[#This Row],[PARCELA ATUAL]])</f>
        <v>#REF!</v>
      </c>
      <c r="M1044" s="19" t="e">
        <f>tb_Auditoria[[#This Row],[VALOR PAGO]] - tb_Auditoria[[#This Row],[VALOR ESPERADO]]</f>
        <v>#REF!</v>
      </c>
      <c r="N10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5" spans="1:15">
      <c r="A1045" s="9">
        <v>1151218</v>
      </c>
      <c r="B1045" s="10">
        <v>7</v>
      </c>
      <c r="C1045" s="37">
        <v>2.48E-3</v>
      </c>
      <c r="D1045" s="12">
        <f>tb_Auditoria[[#This Row],[% TAXA RELATÓRIO]]*tb_Auditoria[[#This Row],[VALOR CRÉDITO]]</f>
        <v>260.39999999999998</v>
      </c>
      <c r="E1045" s="13">
        <v>46072</v>
      </c>
      <c r="F1045" s="13" t="s">
        <v>18</v>
      </c>
      <c r="G104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4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45" s="19">
        <f>IFERROR(INDEX([1]!tb_Vendas[Crédito],MATCH(tb_Auditoria[[#This Row],[Nº CONTRATO]],[1]!tb_Vendas[Nº Contrato],0)),0)</f>
        <v>105000</v>
      </c>
      <c r="K1045" s="21">
        <f>IFERROR(tb_Auditoria[[#This Row],[VALOR ESPERADO]] / tb_Auditoria[[#This Row],[VALOR CRÉDITO]], 0)</f>
        <v>0</v>
      </c>
      <c r="L1045" s="19" t="e">
        <f>SUMIFS([1]!Motor_Comissão[Valor Previsto],[1]!Motor_Comissão[Chave], tb_Auditoria[[#This Row],[Nº CONTRATO]]&amp;"-"&amp;tb_Auditoria[[#This Row],[PARCELA ATUAL]])</f>
        <v>#REF!</v>
      </c>
      <c r="M1045" s="19" t="e">
        <f>tb_Auditoria[[#This Row],[VALOR PAGO]] - tb_Auditoria[[#This Row],[VALOR ESPERADO]]</f>
        <v>#REF!</v>
      </c>
      <c r="N10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6" spans="1:15">
      <c r="A1046" s="9">
        <v>1151218</v>
      </c>
      <c r="B1046" s="10">
        <v>8</v>
      </c>
      <c r="C1046" s="37">
        <v>2.48E-3</v>
      </c>
      <c r="D1046" s="12">
        <f>tb_Auditoria[[#This Row],[% TAXA RELATÓRIO]]*tb_Auditoria[[#This Row],[VALOR CRÉDITO]]</f>
        <v>260.39999999999998</v>
      </c>
      <c r="E1046" s="13">
        <v>46072</v>
      </c>
      <c r="F1046" s="13" t="s">
        <v>18</v>
      </c>
      <c r="G104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4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46" s="19">
        <f>IFERROR(INDEX([1]!tb_Vendas[Crédito],MATCH(tb_Auditoria[[#This Row],[Nº CONTRATO]],[1]!tb_Vendas[Nº Contrato],0)),0)</f>
        <v>105000</v>
      </c>
      <c r="K1046" s="21">
        <f>IFERROR(tb_Auditoria[[#This Row],[VALOR ESPERADO]] / tb_Auditoria[[#This Row],[VALOR CRÉDITO]], 0)</f>
        <v>0</v>
      </c>
      <c r="L1046" s="19" t="e">
        <f>SUMIFS([1]!Motor_Comissão[Valor Previsto],[1]!Motor_Comissão[Chave], tb_Auditoria[[#This Row],[Nº CONTRATO]]&amp;"-"&amp;tb_Auditoria[[#This Row],[PARCELA ATUAL]])</f>
        <v>#REF!</v>
      </c>
      <c r="M1046" s="19" t="e">
        <f>tb_Auditoria[[#This Row],[VALOR PAGO]] - tb_Auditoria[[#This Row],[VALOR ESPERADO]]</f>
        <v>#REF!</v>
      </c>
      <c r="N10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7" spans="1:15">
      <c r="A1047" s="9">
        <v>1151218</v>
      </c>
      <c r="B1047" s="10">
        <v>9</v>
      </c>
      <c r="C1047" s="37">
        <v>2.48E-3</v>
      </c>
      <c r="D1047" s="12">
        <f>tb_Auditoria[[#This Row],[% TAXA RELATÓRIO]]*tb_Auditoria[[#This Row],[VALOR CRÉDITO]]</f>
        <v>260.39999999999998</v>
      </c>
      <c r="E1047" s="13">
        <v>46100</v>
      </c>
      <c r="F1047" s="13" t="s">
        <v>18</v>
      </c>
      <c r="G104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4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47" s="19">
        <f>IFERROR(INDEX([1]!tb_Vendas[Crédito],MATCH(tb_Auditoria[[#This Row],[Nº CONTRATO]],[1]!tb_Vendas[Nº Contrato],0)),0)</f>
        <v>105000</v>
      </c>
      <c r="K1047" s="21">
        <f>IFERROR(tb_Auditoria[[#This Row],[VALOR ESPERADO]] / tb_Auditoria[[#This Row],[VALOR CRÉDITO]], 0)</f>
        <v>0</v>
      </c>
      <c r="L1047" s="19" t="e">
        <f>SUMIFS([1]!Motor_Comissão[Valor Previsto],[1]!Motor_Comissão[Chave], tb_Auditoria[[#This Row],[Nº CONTRATO]]&amp;"-"&amp;tb_Auditoria[[#This Row],[PARCELA ATUAL]])</f>
        <v>#REF!</v>
      </c>
      <c r="M1047" s="19" t="e">
        <f>tb_Auditoria[[#This Row],[VALOR PAGO]] - tb_Auditoria[[#This Row],[VALOR ESPERADO]]</f>
        <v>#REF!</v>
      </c>
      <c r="N10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8" spans="1:15">
      <c r="A1048" s="9">
        <v>1151218</v>
      </c>
      <c r="B1048" s="10">
        <v>10</v>
      </c>
      <c r="C1048" s="37">
        <v>2.48E-3</v>
      </c>
      <c r="D1048" s="12">
        <f>tb_Auditoria[[#This Row],[% TAXA RELATÓRIO]]*tb_Auditoria[[#This Row],[VALOR CRÉDITO]]</f>
        <v>260.39999999999998</v>
      </c>
      <c r="E1048" s="13">
        <v>46129</v>
      </c>
      <c r="F1048" s="13" t="s">
        <v>18</v>
      </c>
      <c r="G104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4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48" s="19">
        <f>IFERROR(INDEX([1]!tb_Vendas[Crédito],MATCH(tb_Auditoria[[#This Row],[Nº CONTRATO]],[1]!tb_Vendas[Nº Contrato],0)),0)</f>
        <v>105000</v>
      </c>
      <c r="K1048" s="21">
        <f>IFERROR(tb_Auditoria[[#This Row],[VALOR ESPERADO]] / tb_Auditoria[[#This Row],[VALOR CRÉDITO]], 0)</f>
        <v>0</v>
      </c>
      <c r="L1048" s="19" t="e">
        <f>SUMIFS([1]!Motor_Comissão[Valor Previsto],[1]!Motor_Comissão[Chave], tb_Auditoria[[#This Row],[Nº CONTRATO]]&amp;"-"&amp;tb_Auditoria[[#This Row],[PARCELA ATUAL]])</f>
        <v>#REF!</v>
      </c>
      <c r="M1048" s="19" t="e">
        <f>tb_Auditoria[[#This Row],[VALOR PAGO]] - tb_Auditoria[[#This Row],[VALOR ESPERADO]]</f>
        <v>#REF!</v>
      </c>
      <c r="N10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49" spans="1:15">
      <c r="A1049" s="9">
        <v>1151222</v>
      </c>
      <c r="B1049" s="10">
        <v>1</v>
      </c>
      <c r="C1049" s="37">
        <v>6.28E-3</v>
      </c>
      <c r="D1049" s="12">
        <f>tb_Auditoria[[#This Row],[% TAXA RELATÓRIO]]*tb_Auditoria[[#This Row],[VALOR CRÉDITO]]</f>
        <v>439.6</v>
      </c>
      <c r="E1049" s="13">
        <v>45918</v>
      </c>
      <c r="F1049" s="13" t="s">
        <v>18</v>
      </c>
      <c r="G104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4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4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49" s="19">
        <f>IFERROR(INDEX([1]!tb_Vendas[Crédito],MATCH(tb_Auditoria[[#This Row],[Nº CONTRATO]],[1]!tb_Vendas[Nº Contrato],0)),0)</f>
        <v>70000</v>
      </c>
      <c r="K1049" s="21">
        <f>IFERROR(tb_Auditoria[[#This Row],[VALOR ESPERADO]] / tb_Auditoria[[#This Row],[VALOR CRÉDITO]], 0)</f>
        <v>0</v>
      </c>
      <c r="L1049" s="19" t="e">
        <f>SUMIFS([1]!Motor_Comissão[Valor Previsto],[1]!Motor_Comissão[Chave], tb_Auditoria[[#This Row],[Nº CONTRATO]]&amp;"-"&amp;tb_Auditoria[[#This Row],[PARCELA ATUAL]])</f>
        <v>#REF!</v>
      </c>
      <c r="M1049" s="19" t="e">
        <f>tb_Auditoria[[#This Row],[VALOR PAGO]] - tb_Auditoria[[#This Row],[VALOR ESPERADO]]</f>
        <v>#REF!</v>
      </c>
      <c r="N10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0" spans="1:15">
      <c r="A1050" s="9">
        <v>1151222</v>
      </c>
      <c r="B1050" s="10">
        <v>2</v>
      </c>
      <c r="C1050" s="37">
        <v>6.28E-3</v>
      </c>
      <c r="D1050" s="12">
        <f>tb_Auditoria[[#This Row],[% TAXA RELATÓRIO]]*tb_Auditoria[[#This Row],[VALOR CRÉDITO]]</f>
        <v>439.6</v>
      </c>
      <c r="E1050" s="13">
        <v>45946</v>
      </c>
      <c r="F1050" s="13" t="s">
        <v>18</v>
      </c>
      <c r="G105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5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50" s="19">
        <f>IFERROR(INDEX([1]!tb_Vendas[Crédito],MATCH(tb_Auditoria[[#This Row],[Nº CONTRATO]],[1]!tb_Vendas[Nº Contrato],0)),0)</f>
        <v>70000</v>
      </c>
      <c r="K1050" s="21">
        <f>IFERROR(tb_Auditoria[[#This Row],[VALOR ESPERADO]] / tb_Auditoria[[#This Row],[VALOR CRÉDITO]], 0)</f>
        <v>0</v>
      </c>
      <c r="L1050" s="19" t="e">
        <f>SUMIFS([1]!Motor_Comissão[Valor Previsto],[1]!Motor_Comissão[Chave], tb_Auditoria[[#This Row],[Nº CONTRATO]]&amp;"-"&amp;tb_Auditoria[[#This Row],[PARCELA ATUAL]])</f>
        <v>#REF!</v>
      </c>
      <c r="M1050" s="19" t="e">
        <f>tb_Auditoria[[#This Row],[VALOR PAGO]] - tb_Auditoria[[#This Row],[VALOR ESPERADO]]</f>
        <v>#REF!</v>
      </c>
      <c r="N10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1" spans="1:15">
      <c r="A1051" s="9">
        <v>1151223</v>
      </c>
      <c r="B1051" s="10">
        <v>1</v>
      </c>
      <c r="C1051" s="37">
        <v>6.28E-3</v>
      </c>
      <c r="D1051" s="12">
        <f>tb_Auditoria[[#This Row],[% TAXA RELATÓRIO]]*tb_Auditoria[[#This Row],[VALOR CRÉDITO]]</f>
        <v>439.6</v>
      </c>
      <c r="E1051" s="13">
        <v>45918</v>
      </c>
      <c r="F1051" s="13" t="s">
        <v>18</v>
      </c>
      <c r="G105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5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51" s="19">
        <f>IFERROR(INDEX([1]!tb_Vendas[Crédito],MATCH(tb_Auditoria[[#This Row],[Nº CONTRATO]],[1]!tb_Vendas[Nº Contrato],0)),0)</f>
        <v>70000</v>
      </c>
      <c r="K1051" s="21">
        <f>IFERROR(tb_Auditoria[[#This Row],[VALOR ESPERADO]] / tb_Auditoria[[#This Row],[VALOR CRÉDITO]], 0)</f>
        <v>0</v>
      </c>
      <c r="L1051" s="19" t="e">
        <f>SUMIFS([1]!Motor_Comissão[Valor Previsto],[1]!Motor_Comissão[Chave], tb_Auditoria[[#This Row],[Nº CONTRATO]]&amp;"-"&amp;tb_Auditoria[[#This Row],[PARCELA ATUAL]])</f>
        <v>#REF!</v>
      </c>
      <c r="M1051" s="19" t="e">
        <f>tb_Auditoria[[#This Row],[VALOR PAGO]] - tb_Auditoria[[#This Row],[VALOR ESPERADO]]</f>
        <v>#REF!</v>
      </c>
      <c r="N10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2" spans="1:15">
      <c r="A1052" s="9">
        <v>1151223</v>
      </c>
      <c r="B1052" s="10">
        <v>2</v>
      </c>
      <c r="C1052" s="37">
        <v>6.28E-3</v>
      </c>
      <c r="D1052" s="12">
        <f>tb_Auditoria[[#This Row],[% TAXA RELATÓRIO]]*tb_Auditoria[[#This Row],[VALOR CRÉDITO]]</f>
        <v>439.6</v>
      </c>
      <c r="E1052" s="13">
        <v>45946</v>
      </c>
      <c r="F1052" s="13" t="s">
        <v>18</v>
      </c>
      <c r="G105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5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52" s="19">
        <f>IFERROR(INDEX([1]!tb_Vendas[Crédito],MATCH(tb_Auditoria[[#This Row],[Nº CONTRATO]],[1]!tb_Vendas[Nº Contrato],0)),0)</f>
        <v>70000</v>
      </c>
      <c r="K1052" s="21">
        <f>IFERROR(tb_Auditoria[[#This Row],[VALOR ESPERADO]] / tb_Auditoria[[#This Row],[VALOR CRÉDITO]], 0)</f>
        <v>0</v>
      </c>
      <c r="L1052" s="19" t="e">
        <f>SUMIFS([1]!Motor_Comissão[Valor Previsto],[1]!Motor_Comissão[Chave], tb_Auditoria[[#This Row],[Nº CONTRATO]]&amp;"-"&amp;tb_Auditoria[[#This Row],[PARCELA ATUAL]])</f>
        <v>#REF!</v>
      </c>
      <c r="M1052" s="19" t="e">
        <f>tb_Auditoria[[#This Row],[VALOR PAGO]] - tb_Auditoria[[#This Row],[VALOR ESPERADO]]</f>
        <v>#REF!</v>
      </c>
      <c r="N10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3" spans="1:15">
      <c r="A1053" s="9">
        <v>1151224</v>
      </c>
      <c r="B1053" s="10">
        <v>1</v>
      </c>
      <c r="C1053" s="37">
        <v>6.28E-3</v>
      </c>
      <c r="D1053" s="12">
        <f>tb_Auditoria[[#This Row],[% TAXA RELATÓRIO]]*tb_Auditoria[[#This Row],[VALOR CRÉDITO]]</f>
        <v>439.6</v>
      </c>
      <c r="E1053" s="13">
        <v>45918</v>
      </c>
      <c r="F1053" s="13" t="s">
        <v>18</v>
      </c>
      <c r="G105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5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53" s="19">
        <f>IFERROR(INDEX([1]!tb_Vendas[Crédito],MATCH(tb_Auditoria[[#This Row],[Nº CONTRATO]],[1]!tb_Vendas[Nº Contrato],0)),0)</f>
        <v>70000</v>
      </c>
      <c r="K1053" s="21">
        <f>IFERROR(tb_Auditoria[[#This Row],[VALOR ESPERADO]] / tb_Auditoria[[#This Row],[VALOR CRÉDITO]], 0)</f>
        <v>0</v>
      </c>
      <c r="L1053" s="19" t="e">
        <f>SUMIFS([1]!Motor_Comissão[Valor Previsto],[1]!Motor_Comissão[Chave], tb_Auditoria[[#This Row],[Nº CONTRATO]]&amp;"-"&amp;tb_Auditoria[[#This Row],[PARCELA ATUAL]])</f>
        <v>#REF!</v>
      </c>
      <c r="M1053" s="19" t="e">
        <f>tb_Auditoria[[#This Row],[VALOR PAGO]] - tb_Auditoria[[#This Row],[VALOR ESPERADO]]</f>
        <v>#REF!</v>
      </c>
      <c r="N10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4" spans="1:15">
      <c r="A1054" s="9">
        <v>1151224</v>
      </c>
      <c r="B1054" s="10">
        <v>2</v>
      </c>
      <c r="C1054" s="37">
        <v>6.28E-3</v>
      </c>
      <c r="D1054" s="12">
        <f>tb_Auditoria[[#This Row],[% TAXA RELATÓRIO]]*tb_Auditoria[[#This Row],[VALOR CRÉDITO]]</f>
        <v>439.6</v>
      </c>
      <c r="E1054" s="13">
        <v>45946</v>
      </c>
      <c r="F1054" s="13" t="s">
        <v>18</v>
      </c>
      <c r="G105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Zero 1 representações</v>
      </c>
      <c r="I105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LUANA</v>
      </c>
      <c r="J1054" s="19">
        <f>IFERROR(INDEX([1]!tb_Vendas[Crédito],MATCH(tb_Auditoria[[#This Row],[Nº CONTRATO]],[1]!tb_Vendas[Nº Contrato],0)),0)</f>
        <v>70000</v>
      </c>
      <c r="K1054" s="21">
        <f>IFERROR(tb_Auditoria[[#This Row],[VALOR ESPERADO]] / tb_Auditoria[[#This Row],[VALOR CRÉDITO]], 0)</f>
        <v>0</v>
      </c>
      <c r="L1054" s="19" t="e">
        <f>SUMIFS([1]!Motor_Comissão[Valor Previsto],[1]!Motor_Comissão[Chave], tb_Auditoria[[#This Row],[Nº CONTRATO]]&amp;"-"&amp;tb_Auditoria[[#This Row],[PARCELA ATUAL]])</f>
        <v>#REF!</v>
      </c>
      <c r="M1054" s="19" t="e">
        <f>tb_Auditoria[[#This Row],[VALOR PAGO]] - tb_Auditoria[[#This Row],[VALOR ESPERADO]]</f>
        <v>#REF!</v>
      </c>
      <c r="N10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5" spans="1:15">
      <c r="A1055" s="9">
        <v>1151630</v>
      </c>
      <c r="B1055" s="10">
        <v>1</v>
      </c>
      <c r="C1055" s="37">
        <v>4.9919999999999999E-3</v>
      </c>
      <c r="D1055" s="12">
        <f>tb_Auditoria[[#This Row],[% TAXA RELATÓRIO]]*tb_Auditoria[[#This Row],[VALOR CRÉDITO]]</f>
        <v>2548.3903411199999</v>
      </c>
      <c r="E1055" s="13">
        <v>45918</v>
      </c>
      <c r="F1055" s="13" t="s">
        <v>18</v>
      </c>
      <c r="G105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EDUARDO COSTA VIDIGAL</v>
      </c>
      <c r="I105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55" s="19">
        <f>IFERROR(INDEX([1]!tb_Vendas[Crédito],MATCH(tb_Auditoria[[#This Row],[Nº CONTRATO]],[1]!tb_Vendas[Nº Contrato],0)),0)</f>
        <v>510494.86</v>
      </c>
      <c r="K1055" s="21">
        <f>IFERROR(tb_Auditoria[[#This Row],[VALOR ESPERADO]] / tb_Auditoria[[#This Row],[VALOR CRÉDITO]], 0)</f>
        <v>0</v>
      </c>
      <c r="L1055" s="19" t="e">
        <f>SUMIFS([1]!Motor_Comissão[Valor Previsto],[1]!Motor_Comissão[Chave], tb_Auditoria[[#This Row],[Nº CONTRATO]]&amp;"-"&amp;tb_Auditoria[[#This Row],[PARCELA ATUAL]])</f>
        <v>#REF!</v>
      </c>
      <c r="M1055" s="19" t="e">
        <f>tb_Auditoria[[#This Row],[VALOR PAGO]] - tb_Auditoria[[#This Row],[VALOR ESPERADO]]</f>
        <v>#REF!</v>
      </c>
      <c r="N10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6" spans="1:15">
      <c r="A1056" s="9">
        <v>1151630</v>
      </c>
      <c r="B1056" s="10">
        <v>2</v>
      </c>
      <c r="C1056" s="37">
        <v>4.9919999999999999E-3</v>
      </c>
      <c r="D1056" s="12">
        <f>tb_Auditoria[[#This Row],[% TAXA RELATÓRIO]]*tb_Auditoria[[#This Row],[VALOR CRÉDITO]]</f>
        <v>2548.3903411199999</v>
      </c>
      <c r="E1056" s="13">
        <v>45946</v>
      </c>
      <c r="F1056" s="13" t="s">
        <v>18</v>
      </c>
      <c r="G105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EDUARDO COSTA VIDIGAL</v>
      </c>
      <c r="I105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56" s="19">
        <f>IFERROR(INDEX([1]!tb_Vendas[Crédito],MATCH(tb_Auditoria[[#This Row],[Nº CONTRATO]],[1]!tb_Vendas[Nº Contrato],0)),0)</f>
        <v>510494.86</v>
      </c>
      <c r="K1056" s="21">
        <f>IFERROR(tb_Auditoria[[#This Row],[VALOR ESPERADO]] / tb_Auditoria[[#This Row],[VALOR CRÉDITO]], 0)</f>
        <v>0</v>
      </c>
      <c r="L1056" s="19" t="e">
        <f>SUMIFS([1]!Motor_Comissão[Valor Previsto],[1]!Motor_Comissão[Chave], tb_Auditoria[[#This Row],[Nº CONTRATO]]&amp;"-"&amp;tb_Auditoria[[#This Row],[PARCELA ATUAL]])</f>
        <v>#REF!</v>
      </c>
      <c r="M1056" s="19" t="e">
        <f>tb_Auditoria[[#This Row],[VALOR PAGO]] - tb_Auditoria[[#This Row],[VALOR ESPERADO]]</f>
        <v>#REF!</v>
      </c>
      <c r="N10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7" spans="1:15">
      <c r="A1057" s="9">
        <v>1151630</v>
      </c>
      <c r="B1057" s="10">
        <v>3</v>
      </c>
      <c r="C1057" s="37">
        <v>4.9919999999999999E-3</v>
      </c>
      <c r="D1057" s="12">
        <f>tb_Auditoria[[#This Row],[% TAXA RELATÓRIO]]*tb_Auditoria[[#This Row],[VALOR CRÉDITO]]</f>
        <v>2548.3903411199999</v>
      </c>
      <c r="E1057" s="13">
        <v>45980</v>
      </c>
      <c r="F1057" s="13" t="s">
        <v>18</v>
      </c>
      <c r="G105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EDUARDO COSTA VIDIGAL</v>
      </c>
      <c r="I105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57" s="19">
        <f>IFERROR(INDEX([1]!tb_Vendas[Crédito],MATCH(tb_Auditoria[[#This Row],[Nº CONTRATO]],[1]!tb_Vendas[Nº Contrato],0)),0)</f>
        <v>510494.86</v>
      </c>
      <c r="K1057" s="21">
        <f>IFERROR(tb_Auditoria[[#This Row],[VALOR ESPERADO]] / tb_Auditoria[[#This Row],[VALOR CRÉDITO]], 0)</f>
        <v>0</v>
      </c>
      <c r="L1057" s="19" t="e">
        <f>SUMIFS([1]!Motor_Comissão[Valor Previsto],[1]!Motor_Comissão[Chave], tb_Auditoria[[#This Row],[Nº CONTRATO]]&amp;"-"&amp;tb_Auditoria[[#This Row],[PARCELA ATUAL]])</f>
        <v>#REF!</v>
      </c>
      <c r="M1057" s="19" t="e">
        <f>tb_Auditoria[[#This Row],[VALOR PAGO]] - tb_Auditoria[[#This Row],[VALOR ESPERADO]]</f>
        <v>#REF!</v>
      </c>
      <c r="N10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8" spans="1:15">
      <c r="A1058" s="30">
        <v>1151630</v>
      </c>
      <c r="B1058" s="25">
        <v>4</v>
      </c>
      <c r="C1058" s="37">
        <v>4.9919999999999999E-3</v>
      </c>
      <c r="D1058" s="32">
        <f>tb_Auditoria[[#This Row],[% TAXA RELATÓRIO]]*tb_Auditoria[[#This Row],[VALOR CRÉDITO]]</f>
        <v>2548.3903411199999</v>
      </c>
      <c r="E1058" s="29">
        <v>46008</v>
      </c>
      <c r="F1058" s="13" t="s">
        <v>18</v>
      </c>
      <c r="G1058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8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EDUARDO COSTA VIDIGAL</v>
      </c>
      <c r="I1058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58" s="23">
        <f>IFERROR(INDEX([1]!tb_Vendas[Crédito],MATCH(tb_Auditoria[[#This Row],[Nº CONTRATO]],[1]!tb_Vendas[Nº Contrato],0)),0)</f>
        <v>510494.86</v>
      </c>
      <c r="K1058" s="22">
        <f>IFERROR(tb_Auditoria[[#This Row],[VALOR ESPERADO]] / tb_Auditoria[[#This Row],[VALOR CRÉDITO]], 0)</f>
        <v>0</v>
      </c>
      <c r="L1058" s="23" t="e">
        <f>SUMIFS([1]!Motor_Comissão[Valor Previsto],[1]!Motor_Comissão[Chave], tb_Auditoria[[#This Row],[Nº CONTRATO]]&amp;"-"&amp;tb_Auditoria[[#This Row],[PARCELA ATUAL]])</f>
        <v>#REF!</v>
      </c>
      <c r="M1058" s="23" t="e">
        <f>tb_Auditoria[[#This Row],[VALOR PAGO]] - tb_Auditoria[[#This Row],[VALOR ESPERADO]]</f>
        <v>#REF!</v>
      </c>
      <c r="N1058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8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59" spans="1:15">
      <c r="A1059" s="9">
        <v>1151630</v>
      </c>
      <c r="B1059" s="10">
        <v>5</v>
      </c>
      <c r="C1059" s="37">
        <v>4.9919999999999999E-3</v>
      </c>
      <c r="D1059" s="12">
        <f>tb_Auditoria[[#This Row],[% TAXA RELATÓRIO]]*tb_Auditoria[[#This Row],[VALOR CRÉDITO]]</f>
        <v>2548.3903411199999</v>
      </c>
      <c r="E1059" s="13">
        <v>46038</v>
      </c>
      <c r="F1059" s="13" t="s">
        <v>18</v>
      </c>
      <c r="G105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5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EDUARDO COSTA VIDIGAL</v>
      </c>
      <c r="I105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59" s="19">
        <f>IFERROR(INDEX([1]!tb_Vendas[Crédito],MATCH(tb_Auditoria[[#This Row],[Nº CONTRATO]],[1]!tb_Vendas[Nº Contrato],0)),0)</f>
        <v>510494.86</v>
      </c>
      <c r="K1059" s="21">
        <f>IFERROR(tb_Auditoria[[#This Row],[VALOR ESPERADO]] / tb_Auditoria[[#This Row],[VALOR CRÉDITO]], 0)</f>
        <v>0</v>
      </c>
      <c r="L1059" s="19" t="e">
        <f>SUMIFS([1]!Motor_Comissão[Valor Previsto],[1]!Motor_Comissão[Chave], tb_Auditoria[[#This Row],[Nº CONTRATO]]&amp;"-"&amp;tb_Auditoria[[#This Row],[PARCELA ATUAL]])</f>
        <v>#REF!</v>
      </c>
      <c r="M1059" s="19" t="e">
        <f>tb_Auditoria[[#This Row],[VALOR PAGO]] - tb_Auditoria[[#This Row],[VALOR ESPERADO]]</f>
        <v>#REF!</v>
      </c>
      <c r="N10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0" spans="1:15">
      <c r="A1060" s="9">
        <v>1151630</v>
      </c>
      <c r="B1060" s="10">
        <v>6</v>
      </c>
      <c r="C1060" s="37">
        <v>4.9919999999999999E-3</v>
      </c>
      <c r="D1060" s="12">
        <f>tb_Auditoria[[#This Row],[% TAXA RELATÓRIO]]*tb_Auditoria[[#This Row],[VALOR CRÉDITO]]</f>
        <v>2548.3903411199999</v>
      </c>
      <c r="E1060" s="13">
        <v>46072</v>
      </c>
      <c r="F1060" s="13" t="s">
        <v>18</v>
      </c>
      <c r="G106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EDUARDO COSTA VIDIGAL</v>
      </c>
      <c r="I106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60" s="19">
        <f>IFERROR(INDEX([1]!tb_Vendas[Crédito],MATCH(tb_Auditoria[[#This Row],[Nº CONTRATO]],[1]!tb_Vendas[Nº Contrato],0)),0)</f>
        <v>510494.86</v>
      </c>
      <c r="K1060" s="21">
        <f>IFERROR(tb_Auditoria[[#This Row],[VALOR ESPERADO]] / tb_Auditoria[[#This Row],[VALOR CRÉDITO]], 0)</f>
        <v>0</v>
      </c>
      <c r="L1060" s="19" t="e">
        <f>SUMIFS([1]!Motor_Comissão[Valor Previsto],[1]!Motor_Comissão[Chave], tb_Auditoria[[#This Row],[Nº CONTRATO]]&amp;"-"&amp;tb_Auditoria[[#This Row],[PARCELA ATUAL]])</f>
        <v>#REF!</v>
      </c>
      <c r="M1060" s="19" t="e">
        <f>tb_Auditoria[[#This Row],[VALOR PAGO]] - tb_Auditoria[[#This Row],[VALOR ESPERADO]]</f>
        <v>#REF!</v>
      </c>
      <c r="N10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1" spans="1:15">
      <c r="A1061" s="9">
        <v>1151630</v>
      </c>
      <c r="B1061" s="10">
        <v>7</v>
      </c>
      <c r="C1061" s="37">
        <v>2.2620000000000001E-3</v>
      </c>
      <c r="D1061" s="12">
        <f>tb_Auditoria[[#This Row],[% TAXA RELATÓRIO]]*tb_Auditoria[[#This Row],[VALOR CRÉDITO]]</f>
        <v>1154.7393733200001</v>
      </c>
      <c r="E1061" s="13">
        <v>46100</v>
      </c>
      <c r="F1061" s="13" t="s">
        <v>18</v>
      </c>
      <c r="G106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EDUARDO COSTA VIDIGAL</v>
      </c>
      <c r="I106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61" s="19">
        <f>IFERROR(INDEX([1]!tb_Vendas[Crédito],MATCH(tb_Auditoria[[#This Row],[Nº CONTRATO]],[1]!tb_Vendas[Nº Contrato],0)),0)</f>
        <v>510494.86</v>
      </c>
      <c r="K1061" s="21">
        <f>IFERROR(tb_Auditoria[[#This Row],[VALOR ESPERADO]] / tb_Auditoria[[#This Row],[VALOR CRÉDITO]], 0)</f>
        <v>0</v>
      </c>
      <c r="L1061" s="19" t="e">
        <f>SUMIFS([1]!Motor_Comissão[Valor Previsto],[1]!Motor_Comissão[Chave], tb_Auditoria[[#This Row],[Nº CONTRATO]]&amp;"-"&amp;tb_Auditoria[[#This Row],[PARCELA ATUAL]])</f>
        <v>#REF!</v>
      </c>
      <c r="M1061" s="19" t="e">
        <f>tb_Auditoria[[#This Row],[VALOR PAGO]] - tb_Auditoria[[#This Row],[VALOR ESPERADO]]</f>
        <v>#REF!</v>
      </c>
      <c r="N10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2" spans="1:15">
      <c r="A1062" s="9">
        <v>1151630</v>
      </c>
      <c r="B1062" s="10">
        <v>8</v>
      </c>
      <c r="C1062" s="37">
        <v>2.2620000000000001E-3</v>
      </c>
      <c r="D1062" s="12">
        <f>tb_Auditoria[[#This Row],[% TAXA RELATÓRIO]]*tb_Auditoria[[#This Row],[VALOR CRÉDITO]]</f>
        <v>1154.7393733200001</v>
      </c>
      <c r="E1062" s="13">
        <v>46129</v>
      </c>
      <c r="F1062" s="13" t="s">
        <v>18</v>
      </c>
      <c r="G106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EDUARDO COSTA VIDIGAL</v>
      </c>
      <c r="I106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62" s="19">
        <f>IFERROR(INDEX([1]!tb_Vendas[Crédito],MATCH(tb_Auditoria[[#This Row],[Nº CONTRATO]],[1]!tb_Vendas[Nº Contrato],0)),0)</f>
        <v>510494.86</v>
      </c>
      <c r="K1062" s="21">
        <f>IFERROR(tb_Auditoria[[#This Row],[VALOR ESPERADO]] / tb_Auditoria[[#This Row],[VALOR CRÉDITO]], 0)</f>
        <v>0</v>
      </c>
      <c r="L1062" s="19" t="e">
        <f>SUMIFS([1]!Motor_Comissão[Valor Previsto],[1]!Motor_Comissão[Chave], tb_Auditoria[[#This Row],[Nº CONTRATO]]&amp;"-"&amp;tb_Auditoria[[#This Row],[PARCELA ATUAL]])</f>
        <v>#REF!</v>
      </c>
      <c r="M1062" s="19" t="e">
        <f>tb_Auditoria[[#This Row],[VALOR PAGO]] - tb_Auditoria[[#This Row],[VALOR ESPERADO]]</f>
        <v>#REF!</v>
      </c>
      <c r="N10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3" spans="1:15">
      <c r="A1063" s="9">
        <v>1151630</v>
      </c>
      <c r="B1063" s="10">
        <v>9</v>
      </c>
      <c r="C1063" s="37">
        <v>2.2620000000000001E-3</v>
      </c>
      <c r="D1063" s="12">
        <f>tb_Auditoria[[#This Row],[% TAXA RELATÓRIO]]*tb_Auditoria[[#This Row],[VALOR CRÉDITO]]</f>
        <v>1154.7393733200001</v>
      </c>
      <c r="E1063" s="13">
        <v>46161</v>
      </c>
      <c r="F1063" s="13" t="s">
        <v>18</v>
      </c>
      <c r="G106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EDUARDO COSTA VIDIGAL</v>
      </c>
      <c r="I106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63" s="19">
        <f>IFERROR(INDEX([1]!tb_Vendas[Crédito],MATCH(tb_Auditoria[[#This Row],[Nº CONTRATO]],[1]!tb_Vendas[Nº Contrato],0)),0)</f>
        <v>510494.86</v>
      </c>
      <c r="K1063" s="21">
        <f>IFERROR(tb_Auditoria[[#This Row],[VALOR ESPERADO]] / tb_Auditoria[[#This Row],[VALOR CRÉDITO]], 0)</f>
        <v>0</v>
      </c>
      <c r="L1063" s="19" t="e">
        <f>SUMIFS([1]!Motor_Comissão[Valor Previsto],[1]!Motor_Comissão[Chave], tb_Auditoria[[#This Row],[Nº CONTRATO]]&amp;"-"&amp;tb_Auditoria[[#This Row],[PARCELA ATUAL]])</f>
        <v>#REF!</v>
      </c>
      <c r="M1063" s="19" t="e">
        <f>tb_Auditoria[[#This Row],[VALOR PAGO]] - tb_Auditoria[[#This Row],[VALOR ESPERADO]]</f>
        <v>#REF!</v>
      </c>
      <c r="N10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4" spans="1:15">
      <c r="A1064" s="9">
        <v>1154932</v>
      </c>
      <c r="B1064" s="10">
        <v>1</v>
      </c>
      <c r="C1064" s="37">
        <v>1.5E-3</v>
      </c>
      <c r="D1064" s="12">
        <f>tb_Auditoria[[#This Row],[% TAXA RELATÓRIO]]*tb_Auditoria[[#This Row],[VALOR CRÉDITO]]</f>
        <v>637.5</v>
      </c>
      <c r="E1064" s="13">
        <v>46008</v>
      </c>
      <c r="F1064" s="13" t="s">
        <v>18</v>
      </c>
      <c r="G106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6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64" s="19">
        <f>IFERROR(INDEX([1]!tb_Vendas[Crédito],MATCH(tb_Auditoria[[#This Row],[Nº CONTRATO]],[1]!tb_Vendas[Nº Contrato],0)),0)</f>
        <v>425000</v>
      </c>
      <c r="K1064" s="21">
        <f>IFERROR(tb_Auditoria[[#This Row],[VALOR ESPERADO]] / tb_Auditoria[[#This Row],[VALOR CRÉDITO]], 0)</f>
        <v>0</v>
      </c>
      <c r="L1064" s="19" t="e">
        <f>SUMIFS([1]!Motor_Comissão[Valor Previsto],[1]!Motor_Comissão[Chave], tb_Auditoria[[#This Row],[Nº CONTRATO]]&amp;"-"&amp;tb_Auditoria[[#This Row],[PARCELA ATUAL]])</f>
        <v>#REF!</v>
      </c>
      <c r="M1064" s="19" t="e">
        <f>tb_Auditoria[[#This Row],[VALOR PAGO]] - tb_Auditoria[[#This Row],[VALOR ESPERADO]]</f>
        <v>#REF!</v>
      </c>
      <c r="N10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5" spans="1:15">
      <c r="A1065" s="9">
        <v>1154932</v>
      </c>
      <c r="B1065" s="10">
        <v>2</v>
      </c>
      <c r="C1065" s="37">
        <v>1.5E-3</v>
      </c>
      <c r="D1065" s="12">
        <f>tb_Auditoria[[#This Row],[% TAXA RELATÓRIO]]*tb_Auditoria[[#This Row],[VALOR CRÉDITO]]</f>
        <v>637.5</v>
      </c>
      <c r="E1065" s="13">
        <v>46038</v>
      </c>
      <c r="F1065" s="13" t="s">
        <v>18</v>
      </c>
      <c r="G106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6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65" s="19">
        <f>IFERROR(INDEX([1]!tb_Vendas[Crédito],MATCH(tb_Auditoria[[#This Row],[Nº CONTRATO]],[1]!tb_Vendas[Nº Contrato],0)),0)</f>
        <v>425000</v>
      </c>
      <c r="K1065" s="21">
        <f>IFERROR(tb_Auditoria[[#This Row],[VALOR ESPERADO]] / tb_Auditoria[[#This Row],[VALOR CRÉDITO]], 0)</f>
        <v>0</v>
      </c>
      <c r="L1065" s="19" t="e">
        <f>SUMIFS([1]!Motor_Comissão[Valor Previsto],[1]!Motor_Comissão[Chave], tb_Auditoria[[#This Row],[Nº CONTRATO]]&amp;"-"&amp;tb_Auditoria[[#This Row],[PARCELA ATUAL]])</f>
        <v>#REF!</v>
      </c>
      <c r="M1065" s="19" t="e">
        <f>tb_Auditoria[[#This Row],[VALOR PAGO]] - tb_Auditoria[[#This Row],[VALOR ESPERADO]]</f>
        <v>#REF!</v>
      </c>
      <c r="N10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6" spans="1:15">
      <c r="A1066" s="9">
        <v>1154932</v>
      </c>
      <c r="B1066" s="10">
        <v>3</v>
      </c>
      <c r="C1066" s="37">
        <v>1.5E-3</v>
      </c>
      <c r="D1066" s="12">
        <f>tb_Auditoria[[#This Row],[% TAXA RELATÓRIO]]*tb_Auditoria[[#This Row],[VALOR CRÉDITO]]</f>
        <v>637.5</v>
      </c>
      <c r="E1066" s="13">
        <v>46072</v>
      </c>
      <c r="F1066" s="13" t="s">
        <v>18</v>
      </c>
      <c r="G106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6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66" s="19">
        <f>IFERROR(INDEX([1]!tb_Vendas[Crédito],MATCH(tb_Auditoria[[#This Row],[Nº CONTRATO]],[1]!tb_Vendas[Nº Contrato],0)),0)</f>
        <v>425000</v>
      </c>
      <c r="K1066" s="21">
        <f>IFERROR(tb_Auditoria[[#This Row],[VALOR ESPERADO]] / tb_Auditoria[[#This Row],[VALOR CRÉDITO]], 0)</f>
        <v>0</v>
      </c>
      <c r="L1066" s="19" t="e">
        <f>SUMIFS([1]!Motor_Comissão[Valor Previsto],[1]!Motor_Comissão[Chave], tb_Auditoria[[#This Row],[Nº CONTRATO]]&amp;"-"&amp;tb_Auditoria[[#This Row],[PARCELA ATUAL]])</f>
        <v>#REF!</v>
      </c>
      <c r="M1066" s="19" t="e">
        <f>tb_Auditoria[[#This Row],[VALOR PAGO]] - tb_Auditoria[[#This Row],[VALOR ESPERADO]]</f>
        <v>#REF!</v>
      </c>
      <c r="N106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7" spans="1:15">
      <c r="A1067" s="9">
        <v>1154932</v>
      </c>
      <c r="B1067" s="10">
        <v>4</v>
      </c>
      <c r="C1067" s="37">
        <v>1.5E-3</v>
      </c>
      <c r="D1067" s="12">
        <f>tb_Auditoria[[#This Row],[% TAXA RELATÓRIO]]*tb_Auditoria[[#This Row],[VALOR CRÉDITO]]</f>
        <v>637.5</v>
      </c>
      <c r="E1067" s="13">
        <v>46100</v>
      </c>
      <c r="F1067" s="13" t="s">
        <v>18</v>
      </c>
      <c r="G106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6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67" s="19">
        <f>IFERROR(INDEX([1]!tb_Vendas[Crédito],MATCH(tb_Auditoria[[#This Row],[Nº CONTRATO]],[1]!tb_Vendas[Nº Contrato],0)),0)</f>
        <v>425000</v>
      </c>
      <c r="K1067" s="21">
        <f>IFERROR(tb_Auditoria[[#This Row],[VALOR ESPERADO]] / tb_Auditoria[[#This Row],[VALOR CRÉDITO]], 0)</f>
        <v>0</v>
      </c>
      <c r="L1067" s="19" t="e">
        <f>SUMIFS([1]!Motor_Comissão[Valor Previsto],[1]!Motor_Comissão[Chave], tb_Auditoria[[#This Row],[Nº CONTRATO]]&amp;"-"&amp;tb_Auditoria[[#This Row],[PARCELA ATUAL]])</f>
        <v>#REF!</v>
      </c>
      <c r="M1067" s="19" t="e">
        <f>tb_Auditoria[[#This Row],[VALOR PAGO]] - tb_Auditoria[[#This Row],[VALOR ESPERADO]]</f>
        <v>#REF!</v>
      </c>
      <c r="N10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8" spans="1:15">
      <c r="A1068" s="9">
        <v>1154932</v>
      </c>
      <c r="B1068" s="10">
        <v>5</v>
      </c>
      <c r="C1068" s="37">
        <v>1.5E-3</v>
      </c>
      <c r="D1068" s="12">
        <f>tb_Auditoria[[#This Row],[% TAXA RELATÓRIO]]*tb_Auditoria[[#This Row],[VALOR CRÉDITO]]</f>
        <v>637.5</v>
      </c>
      <c r="E1068" s="13">
        <v>46129</v>
      </c>
      <c r="F1068" s="13" t="s">
        <v>18</v>
      </c>
      <c r="G106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6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68" s="19">
        <f>IFERROR(INDEX([1]!tb_Vendas[Crédito],MATCH(tb_Auditoria[[#This Row],[Nº CONTRATO]],[1]!tb_Vendas[Nº Contrato],0)),0)</f>
        <v>425000</v>
      </c>
      <c r="K1068" s="21">
        <f>IFERROR(tb_Auditoria[[#This Row],[VALOR ESPERADO]] / tb_Auditoria[[#This Row],[VALOR CRÉDITO]], 0)</f>
        <v>0</v>
      </c>
      <c r="L1068" s="19" t="e">
        <f>SUMIFS([1]!Motor_Comissão[Valor Previsto],[1]!Motor_Comissão[Chave], tb_Auditoria[[#This Row],[Nº CONTRATO]]&amp;"-"&amp;tb_Auditoria[[#This Row],[PARCELA ATUAL]])</f>
        <v>#REF!</v>
      </c>
      <c r="M1068" s="19" t="e">
        <f>tb_Auditoria[[#This Row],[VALOR PAGO]] - tb_Auditoria[[#This Row],[VALOR ESPERADO]]</f>
        <v>#REF!</v>
      </c>
      <c r="N106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69" spans="1:15">
      <c r="A1069" s="9">
        <v>1154932</v>
      </c>
      <c r="B1069" s="10">
        <v>6</v>
      </c>
      <c r="C1069" s="37">
        <v>1.5E-3</v>
      </c>
      <c r="D1069" s="12">
        <f>tb_Auditoria[[#This Row],[% TAXA RELATÓRIO]]*tb_Auditoria[[#This Row],[VALOR CRÉDITO]]</f>
        <v>637.5</v>
      </c>
      <c r="E1069" s="13">
        <v>46161</v>
      </c>
      <c r="F1069" s="13" t="s">
        <v>18</v>
      </c>
      <c r="G106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6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6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69" s="19">
        <f>IFERROR(INDEX([1]!tb_Vendas[Crédito],MATCH(tb_Auditoria[[#This Row],[Nº CONTRATO]],[1]!tb_Vendas[Nº Contrato],0)),0)</f>
        <v>425000</v>
      </c>
      <c r="K1069" s="21">
        <f>IFERROR(tb_Auditoria[[#This Row],[VALOR ESPERADO]] / tb_Auditoria[[#This Row],[VALOR CRÉDITO]], 0)</f>
        <v>0</v>
      </c>
      <c r="L1069" s="19" t="e">
        <f>SUMIFS([1]!Motor_Comissão[Valor Previsto],[1]!Motor_Comissão[Chave], tb_Auditoria[[#This Row],[Nº CONTRATO]]&amp;"-"&amp;tb_Auditoria[[#This Row],[PARCELA ATUAL]])</f>
        <v>#REF!</v>
      </c>
      <c r="M1069" s="19" t="e">
        <f>tb_Auditoria[[#This Row],[VALOR PAGO]] - tb_Auditoria[[#This Row],[VALOR ESPERADO]]</f>
        <v>#REF!</v>
      </c>
      <c r="N10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0" spans="1:15">
      <c r="A1070" s="9">
        <v>1154933</v>
      </c>
      <c r="B1070" s="10">
        <v>1</v>
      </c>
      <c r="C1070" s="37">
        <v>1.5E-3</v>
      </c>
      <c r="D1070" s="12">
        <f>tb_Auditoria[[#This Row],[% TAXA RELATÓRIO]]*tb_Auditoria[[#This Row],[VALOR CRÉDITO]]</f>
        <v>637.5</v>
      </c>
      <c r="E1070" s="13">
        <v>46008</v>
      </c>
      <c r="F1070" s="13" t="s">
        <v>18</v>
      </c>
      <c r="G107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7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70" s="19">
        <f>IFERROR(INDEX([1]!tb_Vendas[Crédito],MATCH(tb_Auditoria[[#This Row],[Nº CONTRATO]],[1]!tb_Vendas[Nº Contrato],0)),0)</f>
        <v>425000</v>
      </c>
      <c r="K1070" s="21">
        <f>IFERROR(tb_Auditoria[[#This Row],[VALOR ESPERADO]] / tb_Auditoria[[#This Row],[VALOR CRÉDITO]], 0)</f>
        <v>0</v>
      </c>
      <c r="L1070" s="19" t="e">
        <f>SUMIFS([1]!Motor_Comissão[Valor Previsto],[1]!Motor_Comissão[Chave], tb_Auditoria[[#This Row],[Nº CONTRATO]]&amp;"-"&amp;tb_Auditoria[[#This Row],[PARCELA ATUAL]])</f>
        <v>#REF!</v>
      </c>
      <c r="M1070" s="19" t="e">
        <f>tb_Auditoria[[#This Row],[VALOR PAGO]] - tb_Auditoria[[#This Row],[VALOR ESPERADO]]</f>
        <v>#REF!</v>
      </c>
      <c r="N10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1" spans="1:15">
      <c r="A1071" s="9">
        <v>1154933</v>
      </c>
      <c r="B1071" s="10">
        <v>2</v>
      </c>
      <c r="C1071" s="37">
        <v>1.5E-3</v>
      </c>
      <c r="D1071" s="12">
        <f>tb_Auditoria[[#This Row],[% TAXA RELATÓRIO]]*tb_Auditoria[[#This Row],[VALOR CRÉDITO]]</f>
        <v>637.5</v>
      </c>
      <c r="E1071" s="13">
        <v>46038</v>
      </c>
      <c r="F1071" s="13" t="s">
        <v>18</v>
      </c>
      <c r="G107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7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71" s="19">
        <f>IFERROR(INDEX([1]!tb_Vendas[Crédito],MATCH(tb_Auditoria[[#This Row],[Nº CONTRATO]],[1]!tb_Vendas[Nº Contrato],0)),0)</f>
        <v>425000</v>
      </c>
      <c r="K1071" s="21">
        <f>IFERROR(tb_Auditoria[[#This Row],[VALOR ESPERADO]] / tb_Auditoria[[#This Row],[VALOR CRÉDITO]], 0)</f>
        <v>0</v>
      </c>
      <c r="L1071" s="19" t="e">
        <f>SUMIFS([1]!Motor_Comissão[Valor Previsto],[1]!Motor_Comissão[Chave], tb_Auditoria[[#This Row],[Nº CONTRATO]]&amp;"-"&amp;tb_Auditoria[[#This Row],[PARCELA ATUAL]])</f>
        <v>#REF!</v>
      </c>
      <c r="M1071" s="19" t="e">
        <f>tb_Auditoria[[#This Row],[VALOR PAGO]] - tb_Auditoria[[#This Row],[VALOR ESPERADO]]</f>
        <v>#REF!</v>
      </c>
      <c r="N10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2" spans="1:15">
      <c r="A1072" s="9">
        <v>1154933</v>
      </c>
      <c r="B1072" s="10">
        <v>3</v>
      </c>
      <c r="C1072" s="37">
        <v>1.5E-3</v>
      </c>
      <c r="D1072" s="12">
        <f>tb_Auditoria[[#This Row],[% TAXA RELATÓRIO]]*tb_Auditoria[[#This Row],[VALOR CRÉDITO]]</f>
        <v>637.5</v>
      </c>
      <c r="E1072" s="13">
        <v>46072</v>
      </c>
      <c r="F1072" s="13" t="s">
        <v>18</v>
      </c>
      <c r="G107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7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72" s="19">
        <f>IFERROR(INDEX([1]!tb_Vendas[Crédito],MATCH(tb_Auditoria[[#This Row],[Nº CONTRATO]],[1]!tb_Vendas[Nº Contrato],0)),0)</f>
        <v>425000</v>
      </c>
      <c r="K1072" s="21">
        <f>IFERROR(tb_Auditoria[[#This Row],[VALOR ESPERADO]] / tb_Auditoria[[#This Row],[VALOR CRÉDITO]], 0)</f>
        <v>0</v>
      </c>
      <c r="L1072" s="19" t="e">
        <f>SUMIFS([1]!Motor_Comissão[Valor Previsto],[1]!Motor_Comissão[Chave], tb_Auditoria[[#This Row],[Nº CONTRATO]]&amp;"-"&amp;tb_Auditoria[[#This Row],[PARCELA ATUAL]])</f>
        <v>#REF!</v>
      </c>
      <c r="M1072" s="19" t="e">
        <f>tb_Auditoria[[#This Row],[VALOR PAGO]] - tb_Auditoria[[#This Row],[VALOR ESPERADO]]</f>
        <v>#REF!</v>
      </c>
      <c r="N10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3" spans="1:15">
      <c r="A1073" s="9">
        <v>1154933</v>
      </c>
      <c r="B1073" s="10">
        <v>4</v>
      </c>
      <c r="C1073" s="37">
        <v>1.5E-3</v>
      </c>
      <c r="D1073" s="12">
        <f>tb_Auditoria[[#This Row],[% TAXA RELATÓRIO]]*tb_Auditoria[[#This Row],[VALOR CRÉDITO]]</f>
        <v>637.5</v>
      </c>
      <c r="E1073" s="13">
        <v>46100</v>
      </c>
      <c r="F1073" s="13" t="s">
        <v>18</v>
      </c>
      <c r="G107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7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73" s="19">
        <f>IFERROR(INDEX([1]!tb_Vendas[Crédito],MATCH(tb_Auditoria[[#This Row],[Nº CONTRATO]],[1]!tb_Vendas[Nº Contrato],0)),0)</f>
        <v>425000</v>
      </c>
      <c r="K1073" s="21">
        <f>IFERROR(tb_Auditoria[[#This Row],[VALOR ESPERADO]] / tb_Auditoria[[#This Row],[VALOR CRÉDITO]], 0)</f>
        <v>0</v>
      </c>
      <c r="L1073" s="19" t="e">
        <f>SUMIFS([1]!Motor_Comissão[Valor Previsto],[1]!Motor_Comissão[Chave], tb_Auditoria[[#This Row],[Nº CONTRATO]]&amp;"-"&amp;tb_Auditoria[[#This Row],[PARCELA ATUAL]])</f>
        <v>#REF!</v>
      </c>
      <c r="M1073" s="19" t="e">
        <f>tb_Auditoria[[#This Row],[VALOR PAGO]] - tb_Auditoria[[#This Row],[VALOR ESPERADO]]</f>
        <v>#REF!</v>
      </c>
      <c r="N10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4" spans="1:15">
      <c r="A1074" s="9">
        <v>1154933</v>
      </c>
      <c r="B1074" s="10">
        <v>5</v>
      </c>
      <c r="C1074" s="37">
        <v>1.5E-3</v>
      </c>
      <c r="D1074" s="12">
        <f>tb_Auditoria[[#This Row],[% TAXA RELATÓRIO]]*tb_Auditoria[[#This Row],[VALOR CRÉDITO]]</f>
        <v>637.5</v>
      </c>
      <c r="E1074" s="13">
        <v>46129</v>
      </c>
      <c r="F1074" s="13" t="s">
        <v>18</v>
      </c>
      <c r="G107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7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74" s="19">
        <f>IFERROR(INDEX([1]!tb_Vendas[Crédito],MATCH(tb_Auditoria[[#This Row],[Nº CONTRATO]],[1]!tb_Vendas[Nº Contrato],0)),0)</f>
        <v>425000</v>
      </c>
      <c r="K1074" s="21">
        <f>IFERROR(tb_Auditoria[[#This Row],[VALOR ESPERADO]] / tb_Auditoria[[#This Row],[VALOR CRÉDITO]], 0)</f>
        <v>0</v>
      </c>
      <c r="L1074" s="19" t="e">
        <f>SUMIFS([1]!Motor_Comissão[Valor Previsto],[1]!Motor_Comissão[Chave], tb_Auditoria[[#This Row],[Nº CONTRATO]]&amp;"-"&amp;tb_Auditoria[[#This Row],[PARCELA ATUAL]])</f>
        <v>#REF!</v>
      </c>
      <c r="M1074" s="19" t="e">
        <f>tb_Auditoria[[#This Row],[VALOR PAGO]] - tb_Auditoria[[#This Row],[VALOR ESPERADO]]</f>
        <v>#REF!</v>
      </c>
      <c r="N10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5" spans="1:15">
      <c r="A1075" s="9">
        <v>1154933</v>
      </c>
      <c r="B1075" s="10">
        <v>6</v>
      </c>
      <c r="C1075" s="37">
        <v>1.5E-3</v>
      </c>
      <c r="D1075" s="12">
        <f>tb_Auditoria[[#This Row],[% TAXA RELATÓRIO]]*tb_Auditoria[[#This Row],[VALOR CRÉDITO]]</f>
        <v>637.5</v>
      </c>
      <c r="E1075" s="13">
        <v>46161</v>
      </c>
      <c r="F1075" s="13" t="s">
        <v>18</v>
      </c>
      <c r="G107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7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75" s="19">
        <f>IFERROR(INDEX([1]!tb_Vendas[Crédito],MATCH(tb_Auditoria[[#This Row],[Nº CONTRATO]],[1]!tb_Vendas[Nº Contrato],0)),0)</f>
        <v>425000</v>
      </c>
      <c r="K1075" s="21">
        <f>IFERROR(tb_Auditoria[[#This Row],[VALOR ESPERADO]] / tb_Auditoria[[#This Row],[VALOR CRÉDITO]], 0)</f>
        <v>0</v>
      </c>
      <c r="L1075" s="19" t="e">
        <f>SUMIFS([1]!Motor_Comissão[Valor Previsto],[1]!Motor_Comissão[Chave], tb_Auditoria[[#This Row],[Nº CONTRATO]]&amp;"-"&amp;tb_Auditoria[[#This Row],[PARCELA ATUAL]])</f>
        <v>#REF!</v>
      </c>
      <c r="M1075" s="19" t="e">
        <f>tb_Auditoria[[#This Row],[VALOR PAGO]] - tb_Auditoria[[#This Row],[VALOR ESPERADO]]</f>
        <v>#REF!</v>
      </c>
      <c r="N10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6" spans="1:15">
      <c r="A1076" s="9">
        <v>1154938</v>
      </c>
      <c r="B1076" s="10">
        <v>1</v>
      </c>
      <c r="C1076" s="37">
        <v>1.5E-3</v>
      </c>
      <c r="D1076" s="12">
        <f>tb_Auditoria[[#This Row],[% TAXA RELATÓRIO]]*tb_Auditoria[[#This Row],[VALOR CRÉDITO]]</f>
        <v>510</v>
      </c>
      <c r="E1076" s="13">
        <v>46008</v>
      </c>
      <c r="F1076" s="13" t="s">
        <v>18</v>
      </c>
      <c r="G107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7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76" s="19">
        <f>IFERROR(INDEX([1]!tb_Vendas[Crédito],MATCH(tb_Auditoria[[#This Row],[Nº CONTRATO]],[1]!tb_Vendas[Nº Contrato],0)),0)</f>
        <v>340000</v>
      </c>
      <c r="K1076" s="21">
        <f>IFERROR(tb_Auditoria[[#This Row],[VALOR ESPERADO]] / tb_Auditoria[[#This Row],[VALOR CRÉDITO]], 0)</f>
        <v>0</v>
      </c>
      <c r="L1076" s="19" t="e">
        <f>SUMIFS([1]!Motor_Comissão[Valor Previsto],[1]!Motor_Comissão[Chave], tb_Auditoria[[#This Row],[Nº CONTRATO]]&amp;"-"&amp;tb_Auditoria[[#This Row],[PARCELA ATUAL]])</f>
        <v>#REF!</v>
      </c>
      <c r="M1076" s="19" t="e">
        <f>tb_Auditoria[[#This Row],[VALOR PAGO]] - tb_Auditoria[[#This Row],[VALOR ESPERADO]]</f>
        <v>#REF!</v>
      </c>
      <c r="N10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7" spans="1:15">
      <c r="A1077" s="9">
        <v>1154938</v>
      </c>
      <c r="B1077" s="10">
        <v>2</v>
      </c>
      <c r="C1077" s="37">
        <v>1.5E-3</v>
      </c>
      <c r="D1077" s="12">
        <f>tb_Auditoria[[#This Row],[% TAXA RELATÓRIO]]*tb_Auditoria[[#This Row],[VALOR CRÉDITO]]</f>
        <v>510</v>
      </c>
      <c r="E1077" s="13">
        <v>46038</v>
      </c>
      <c r="F1077" s="13" t="s">
        <v>18</v>
      </c>
      <c r="G107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7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77" s="19">
        <f>IFERROR(INDEX([1]!tb_Vendas[Crédito],MATCH(tb_Auditoria[[#This Row],[Nº CONTRATO]],[1]!tb_Vendas[Nº Contrato],0)),0)</f>
        <v>340000</v>
      </c>
      <c r="K1077" s="21">
        <f>IFERROR(tb_Auditoria[[#This Row],[VALOR ESPERADO]] / tb_Auditoria[[#This Row],[VALOR CRÉDITO]], 0)</f>
        <v>0</v>
      </c>
      <c r="L1077" s="19" t="e">
        <f>SUMIFS([1]!Motor_Comissão[Valor Previsto],[1]!Motor_Comissão[Chave], tb_Auditoria[[#This Row],[Nº CONTRATO]]&amp;"-"&amp;tb_Auditoria[[#This Row],[PARCELA ATUAL]])</f>
        <v>#REF!</v>
      </c>
      <c r="M1077" s="19" t="e">
        <f>tb_Auditoria[[#This Row],[VALOR PAGO]] - tb_Auditoria[[#This Row],[VALOR ESPERADO]]</f>
        <v>#REF!</v>
      </c>
      <c r="N10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8" spans="1:15">
      <c r="A1078" s="30">
        <v>1154938</v>
      </c>
      <c r="B1078" s="25">
        <v>3</v>
      </c>
      <c r="C1078" s="40">
        <v>1.5E-3</v>
      </c>
      <c r="D1078" s="32">
        <f>tb_Auditoria[[#This Row],[% TAXA RELATÓRIO]]*tb_Auditoria[[#This Row],[VALOR CRÉDITO]]</f>
        <v>510</v>
      </c>
      <c r="E1078" s="29">
        <v>46072</v>
      </c>
      <c r="F1078" s="13" t="s">
        <v>18</v>
      </c>
      <c r="G1078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8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78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78" s="23">
        <f>IFERROR(INDEX([1]!tb_Vendas[Crédito],MATCH(tb_Auditoria[[#This Row],[Nº CONTRATO]],[1]!tb_Vendas[Nº Contrato],0)),0)</f>
        <v>340000</v>
      </c>
      <c r="K1078" s="22">
        <f>IFERROR(tb_Auditoria[[#This Row],[VALOR ESPERADO]] / tb_Auditoria[[#This Row],[VALOR CRÉDITO]], 0)</f>
        <v>0</v>
      </c>
      <c r="L1078" s="23" t="e">
        <f>SUMIFS([1]!Motor_Comissão[Valor Previsto],[1]!Motor_Comissão[Chave], tb_Auditoria[[#This Row],[Nº CONTRATO]]&amp;"-"&amp;tb_Auditoria[[#This Row],[PARCELA ATUAL]])</f>
        <v>#REF!</v>
      </c>
      <c r="M1078" s="23" t="e">
        <f>tb_Auditoria[[#This Row],[VALOR PAGO]] - tb_Auditoria[[#This Row],[VALOR ESPERADO]]</f>
        <v>#REF!</v>
      </c>
      <c r="N1078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8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79" spans="1:15">
      <c r="A1079" s="9">
        <v>1154938</v>
      </c>
      <c r="B1079" s="10">
        <v>4</v>
      </c>
      <c r="C1079" s="37">
        <v>1.5E-3</v>
      </c>
      <c r="D1079" s="12">
        <f>tb_Auditoria[[#This Row],[% TAXA RELATÓRIO]]*tb_Auditoria[[#This Row],[VALOR CRÉDITO]]</f>
        <v>510</v>
      </c>
      <c r="E1079" s="13">
        <v>46100</v>
      </c>
      <c r="F1079" s="13" t="s">
        <v>18</v>
      </c>
      <c r="G107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7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7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79" s="19">
        <f>IFERROR(INDEX([1]!tb_Vendas[Crédito],MATCH(tb_Auditoria[[#This Row],[Nº CONTRATO]],[1]!tb_Vendas[Nº Contrato],0)),0)</f>
        <v>340000</v>
      </c>
      <c r="K1079" s="21">
        <f>IFERROR(tb_Auditoria[[#This Row],[VALOR ESPERADO]] / tb_Auditoria[[#This Row],[VALOR CRÉDITO]], 0)</f>
        <v>0</v>
      </c>
      <c r="L1079" s="19" t="e">
        <f>SUMIFS([1]!Motor_Comissão[Valor Previsto],[1]!Motor_Comissão[Chave], tb_Auditoria[[#This Row],[Nº CONTRATO]]&amp;"-"&amp;tb_Auditoria[[#This Row],[PARCELA ATUAL]])</f>
        <v>#REF!</v>
      </c>
      <c r="M1079" s="19" t="e">
        <f>tb_Auditoria[[#This Row],[VALOR PAGO]] - tb_Auditoria[[#This Row],[VALOR ESPERADO]]</f>
        <v>#REF!</v>
      </c>
      <c r="N10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0" spans="1:15">
      <c r="A1080" s="9">
        <v>1154938</v>
      </c>
      <c r="B1080" s="10">
        <v>5</v>
      </c>
      <c r="C1080" s="37">
        <v>1.5E-3</v>
      </c>
      <c r="D1080" s="12">
        <f>tb_Auditoria[[#This Row],[% TAXA RELATÓRIO]]*tb_Auditoria[[#This Row],[VALOR CRÉDITO]]</f>
        <v>510</v>
      </c>
      <c r="E1080" s="13">
        <v>46129</v>
      </c>
      <c r="F1080" s="13" t="s">
        <v>18</v>
      </c>
      <c r="G108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8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80" s="19">
        <f>IFERROR(INDEX([1]!tb_Vendas[Crédito],MATCH(tb_Auditoria[[#This Row],[Nº CONTRATO]],[1]!tb_Vendas[Nº Contrato],0)),0)</f>
        <v>340000</v>
      </c>
      <c r="K1080" s="21">
        <f>IFERROR(tb_Auditoria[[#This Row],[VALOR ESPERADO]] / tb_Auditoria[[#This Row],[VALOR CRÉDITO]], 0)</f>
        <v>0</v>
      </c>
      <c r="L1080" s="19" t="e">
        <f>SUMIFS([1]!Motor_Comissão[Valor Previsto],[1]!Motor_Comissão[Chave], tb_Auditoria[[#This Row],[Nº CONTRATO]]&amp;"-"&amp;tb_Auditoria[[#This Row],[PARCELA ATUAL]])</f>
        <v>#REF!</v>
      </c>
      <c r="M1080" s="19" t="e">
        <f>tb_Auditoria[[#This Row],[VALOR PAGO]] - tb_Auditoria[[#This Row],[VALOR ESPERADO]]</f>
        <v>#REF!</v>
      </c>
      <c r="N10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1" spans="1:15">
      <c r="A1081" s="9">
        <v>1154938</v>
      </c>
      <c r="B1081" s="10">
        <v>6</v>
      </c>
      <c r="C1081" s="37">
        <v>1.5E-3</v>
      </c>
      <c r="D1081" s="12">
        <f>tb_Auditoria[[#This Row],[% TAXA RELATÓRIO]]*tb_Auditoria[[#This Row],[VALOR CRÉDITO]]</f>
        <v>510</v>
      </c>
      <c r="E1081" s="13">
        <v>46161</v>
      </c>
      <c r="F1081" s="13" t="s">
        <v>18</v>
      </c>
      <c r="G108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8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81" s="19">
        <f>IFERROR(INDEX([1]!tb_Vendas[Crédito],MATCH(tb_Auditoria[[#This Row],[Nº CONTRATO]],[1]!tb_Vendas[Nº Contrato],0)),0)</f>
        <v>340000</v>
      </c>
      <c r="K1081" s="21">
        <f>IFERROR(tb_Auditoria[[#This Row],[VALOR ESPERADO]] / tb_Auditoria[[#This Row],[VALOR CRÉDITO]], 0)</f>
        <v>0</v>
      </c>
      <c r="L1081" s="19" t="e">
        <f>SUMIFS([1]!Motor_Comissão[Valor Previsto],[1]!Motor_Comissão[Chave], tb_Auditoria[[#This Row],[Nº CONTRATO]]&amp;"-"&amp;tb_Auditoria[[#This Row],[PARCELA ATUAL]])</f>
        <v>#REF!</v>
      </c>
      <c r="M1081" s="19" t="e">
        <f>tb_Auditoria[[#This Row],[VALOR PAGO]] - tb_Auditoria[[#This Row],[VALOR ESPERADO]]</f>
        <v>#REF!</v>
      </c>
      <c r="N10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2" spans="1:15">
      <c r="A1082" s="9">
        <v>1154943</v>
      </c>
      <c r="B1082" s="10">
        <v>1</v>
      </c>
      <c r="C1082" s="37">
        <v>5.0239999999999998E-3</v>
      </c>
      <c r="D1082" s="12">
        <f>tb_Auditoria[[#This Row],[% TAXA RELATÓRIO]]*tb_Auditoria[[#This Row],[VALOR CRÉDITO]]</f>
        <v>502.4</v>
      </c>
      <c r="E1082" s="13">
        <v>46008</v>
      </c>
      <c r="F1082" s="13" t="s">
        <v>18</v>
      </c>
      <c r="G108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8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82" s="19">
        <f>IFERROR(INDEX([1]!tb_Vendas[Crédito],MATCH(tb_Auditoria[[#This Row],[Nº CONTRATO]],[1]!tb_Vendas[Nº Contrato],0)),0)</f>
        <v>100000</v>
      </c>
      <c r="K1082" s="21">
        <f>IFERROR(tb_Auditoria[[#This Row],[VALOR ESPERADO]] / tb_Auditoria[[#This Row],[VALOR CRÉDITO]], 0)</f>
        <v>0</v>
      </c>
      <c r="L1082" s="19" t="e">
        <f>SUMIFS([1]!Motor_Comissão[Valor Previsto],[1]!Motor_Comissão[Chave], tb_Auditoria[[#This Row],[Nº CONTRATO]]&amp;"-"&amp;tb_Auditoria[[#This Row],[PARCELA ATUAL]])</f>
        <v>#REF!</v>
      </c>
      <c r="M1082" s="19" t="e">
        <f>tb_Auditoria[[#This Row],[VALOR PAGO]] - tb_Auditoria[[#This Row],[VALOR ESPERADO]]</f>
        <v>#REF!</v>
      </c>
      <c r="N10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3" spans="1:15">
      <c r="A1083" s="9">
        <v>1154943</v>
      </c>
      <c r="B1083" s="10">
        <v>2</v>
      </c>
      <c r="C1083" s="37">
        <v>5.0239999999999998E-3</v>
      </c>
      <c r="D1083" s="12">
        <f>tb_Auditoria[[#This Row],[% TAXA RELATÓRIO]]*tb_Auditoria[[#This Row],[VALOR CRÉDITO]]</f>
        <v>502.4</v>
      </c>
      <c r="E1083" s="13">
        <v>46038</v>
      </c>
      <c r="F1083" s="13" t="s">
        <v>18</v>
      </c>
      <c r="G108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8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83" s="19">
        <f>IFERROR(INDEX([1]!tb_Vendas[Crédito],MATCH(tb_Auditoria[[#This Row],[Nº CONTRATO]],[1]!tb_Vendas[Nº Contrato],0)),0)</f>
        <v>100000</v>
      </c>
      <c r="K1083" s="21">
        <f>IFERROR(tb_Auditoria[[#This Row],[VALOR ESPERADO]] / tb_Auditoria[[#This Row],[VALOR CRÉDITO]], 0)</f>
        <v>0</v>
      </c>
      <c r="L1083" s="19" t="e">
        <f>SUMIFS([1]!Motor_Comissão[Valor Previsto],[1]!Motor_Comissão[Chave], tb_Auditoria[[#This Row],[Nº CONTRATO]]&amp;"-"&amp;tb_Auditoria[[#This Row],[PARCELA ATUAL]])</f>
        <v>#REF!</v>
      </c>
      <c r="M1083" s="19" t="e">
        <f>tb_Auditoria[[#This Row],[VALOR PAGO]] - tb_Auditoria[[#This Row],[VALOR ESPERADO]]</f>
        <v>#REF!</v>
      </c>
      <c r="N10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4" spans="1:15">
      <c r="A1084" s="9">
        <v>1154943</v>
      </c>
      <c r="B1084" s="10">
        <v>3</v>
      </c>
      <c r="C1084" s="37">
        <v>5.0239999999999998E-3</v>
      </c>
      <c r="D1084" s="12">
        <f>tb_Auditoria[[#This Row],[% TAXA RELATÓRIO]]*tb_Auditoria[[#This Row],[VALOR CRÉDITO]]</f>
        <v>502.4</v>
      </c>
      <c r="E1084" s="13">
        <v>46072</v>
      </c>
      <c r="F1084" s="13" t="s">
        <v>18</v>
      </c>
      <c r="G108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8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84" s="19">
        <f>IFERROR(INDEX([1]!tb_Vendas[Crédito],MATCH(tb_Auditoria[[#This Row],[Nº CONTRATO]],[1]!tb_Vendas[Nº Contrato],0)),0)</f>
        <v>100000</v>
      </c>
      <c r="K1084" s="21">
        <f>IFERROR(tb_Auditoria[[#This Row],[VALOR ESPERADO]] / tb_Auditoria[[#This Row],[VALOR CRÉDITO]], 0)</f>
        <v>0</v>
      </c>
      <c r="L1084" s="19" t="e">
        <f>SUMIFS([1]!Motor_Comissão[Valor Previsto],[1]!Motor_Comissão[Chave], tb_Auditoria[[#This Row],[Nº CONTRATO]]&amp;"-"&amp;tb_Auditoria[[#This Row],[PARCELA ATUAL]])</f>
        <v>#REF!</v>
      </c>
      <c r="M1084" s="19" t="e">
        <f>tb_Auditoria[[#This Row],[VALOR PAGO]] - tb_Auditoria[[#This Row],[VALOR ESPERADO]]</f>
        <v>#REF!</v>
      </c>
      <c r="N10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5" spans="1:15">
      <c r="A1085" s="9">
        <v>1154943</v>
      </c>
      <c r="B1085" s="10">
        <v>4</v>
      </c>
      <c r="C1085" s="37">
        <v>5.0239999999999998E-3</v>
      </c>
      <c r="D1085" s="12">
        <f>tb_Auditoria[[#This Row],[% TAXA RELATÓRIO]]*tb_Auditoria[[#This Row],[VALOR CRÉDITO]]</f>
        <v>502.4</v>
      </c>
      <c r="E1085" s="13">
        <v>46100</v>
      </c>
      <c r="F1085" s="13" t="s">
        <v>18</v>
      </c>
      <c r="G108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8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85" s="19">
        <f>IFERROR(INDEX([1]!tb_Vendas[Crédito],MATCH(tb_Auditoria[[#This Row],[Nº CONTRATO]],[1]!tb_Vendas[Nº Contrato],0)),0)</f>
        <v>100000</v>
      </c>
      <c r="K1085" s="21">
        <f>IFERROR(tb_Auditoria[[#This Row],[VALOR ESPERADO]] / tb_Auditoria[[#This Row],[VALOR CRÉDITO]], 0)</f>
        <v>0</v>
      </c>
      <c r="L1085" s="19" t="e">
        <f>SUMIFS([1]!Motor_Comissão[Valor Previsto],[1]!Motor_Comissão[Chave], tb_Auditoria[[#This Row],[Nº CONTRATO]]&amp;"-"&amp;tb_Auditoria[[#This Row],[PARCELA ATUAL]])</f>
        <v>#REF!</v>
      </c>
      <c r="M1085" s="19" t="e">
        <f>tb_Auditoria[[#This Row],[VALOR PAGO]] - tb_Auditoria[[#This Row],[VALOR ESPERADO]]</f>
        <v>#REF!</v>
      </c>
      <c r="N10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6" spans="1:15">
      <c r="A1086" s="9">
        <v>1154943</v>
      </c>
      <c r="B1086" s="10">
        <v>5</v>
      </c>
      <c r="C1086" s="37">
        <v>1.9840000000000001E-3</v>
      </c>
      <c r="D1086" s="12">
        <f>tb_Auditoria[[#This Row],[% TAXA RELATÓRIO]]*tb_Auditoria[[#This Row],[VALOR CRÉDITO]]</f>
        <v>198.4</v>
      </c>
      <c r="E1086" s="13">
        <v>46129</v>
      </c>
      <c r="F1086" s="13" t="s">
        <v>18</v>
      </c>
      <c r="G108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8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86" s="19">
        <f>IFERROR(INDEX([1]!tb_Vendas[Crédito],MATCH(tb_Auditoria[[#This Row],[Nº CONTRATO]],[1]!tb_Vendas[Nº Contrato],0)),0)</f>
        <v>100000</v>
      </c>
      <c r="K1086" s="21">
        <f>IFERROR(tb_Auditoria[[#This Row],[VALOR ESPERADO]] / tb_Auditoria[[#This Row],[VALOR CRÉDITO]], 0)</f>
        <v>0</v>
      </c>
      <c r="L1086" s="19" t="e">
        <f>SUMIFS([1]!Motor_Comissão[Valor Previsto],[1]!Motor_Comissão[Chave], tb_Auditoria[[#This Row],[Nº CONTRATO]]&amp;"-"&amp;tb_Auditoria[[#This Row],[PARCELA ATUAL]])</f>
        <v>#REF!</v>
      </c>
      <c r="M1086" s="19" t="e">
        <f>tb_Auditoria[[#This Row],[VALOR PAGO]] - tb_Auditoria[[#This Row],[VALOR ESPERADO]]</f>
        <v>#REF!</v>
      </c>
      <c r="N10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7" spans="1:15">
      <c r="A1087" s="9">
        <v>1154943</v>
      </c>
      <c r="B1087" s="10">
        <v>6</v>
      </c>
      <c r="C1087" s="37">
        <v>1.9840000000000001E-3</v>
      </c>
      <c r="D1087" s="12">
        <f>tb_Auditoria[[#This Row],[% TAXA RELATÓRIO]]*tb_Auditoria[[#This Row],[VALOR CRÉDITO]]</f>
        <v>198.4</v>
      </c>
      <c r="E1087" s="13">
        <v>46161</v>
      </c>
      <c r="F1087" s="13" t="s">
        <v>18</v>
      </c>
      <c r="G108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8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87" s="19">
        <f>IFERROR(INDEX([1]!tb_Vendas[Crédito],MATCH(tb_Auditoria[[#This Row],[Nº CONTRATO]],[1]!tb_Vendas[Nº Contrato],0)),0)</f>
        <v>100000</v>
      </c>
      <c r="K1087" s="21">
        <f>IFERROR(tb_Auditoria[[#This Row],[VALOR ESPERADO]] / tb_Auditoria[[#This Row],[VALOR CRÉDITO]], 0)</f>
        <v>0</v>
      </c>
      <c r="L1087" s="19" t="e">
        <f>SUMIFS([1]!Motor_Comissão[Valor Previsto],[1]!Motor_Comissão[Chave], tb_Auditoria[[#This Row],[Nº CONTRATO]]&amp;"-"&amp;tb_Auditoria[[#This Row],[PARCELA ATUAL]])</f>
        <v>#REF!</v>
      </c>
      <c r="M1087" s="19" t="e">
        <f>tb_Auditoria[[#This Row],[VALOR PAGO]] - tb_Auditoria[[#This Row],[VALOR ESPERADO]]</f>
        <v>#REF!</v>
      </c>
      <c r="N10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8" spans="1:15">
      <c r="A1088" s="9">
        <v>1155095</v>
      </c>
      <c r="B1088" s="10">
        <v>1</v>
      </c>
      <c r="C1088" s="37">
        <v>5.1809999999999998E-3</v>
      </c>
      <c r="D1088" s="12">
        <f>tb_Auditoria[[#This Row],[% TAXA RELATÓRIO]]*tb_Auditoria[[#This Row],[VALOR CRÉDITO]]</f>
        <v>259.05</v>
      </c>
      <c r="E1088" s="13">
        <v>46008</v>
      </c>
      <c r="F1088" s="13" t="s">
        <v>18</v>
      </c>
      <c r="G108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8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88" s="19">
        <f>IFERROR(INDEX([1]!tb_Vendas[Crédito],MATCH(tb_Auditoria[[#This Row],[Nº CONTRATO]],[1]!tb_Vendas[Nº Contrato],0)),0)</f>
        <v>50000</v>
      </c>
      <c r="K1088" s="21">
        <f>IFERROR(tb_Auditoria[[#This Row],[VALOR ESPERADO]] / tb_Auditoria[[#This Row],[VALOR CRÉDITO]], 0)</f>
        <v>0</v>
      </c>
      <c r="L1088" s="19" t="e">
        <f>SUMIFS([1]!Motor_Comissão[Valor Previsto],[1]!Motor_Comissão[Chave], tb_Auditoria[[#This Row],[Nº CONTRATO]]&amp;"-"&amp;tb_Auditoria[[#This Row],[PARCELA ATUAL]])</f>
        <v>#REF!</v>
      </c>
      <c r="M1088" s="19" t="e">
        <f>tb_Auditoria[[#This Row],[VALOR PAGO]] - tb_Auditoria[[#This Row],[VALOR ESPERADO]]</f>
        <v>#REF!</v>
      </c>
      <c r="N10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89" spans="1:15">
      <c r="A1089" s="9">
        <v>1155095</v>
      </c>
      <c r="B1089" s="10">
        <v>2</v>
      </c>
      <c r="C1089" s="37">
        <v>5.1809999999999998E-3</v>
      </c>
      <c r="D1089" s="12">
        <f>tb_Auditoria[[#This Row],[% TAXA RELATÓRIO]]*tb_Auditoria[[#This Row],[VALOR CRÉDITO]]</f>
        <v>259.05</v>
      </c>
      <c r="E1089" s="13">
        <v>46038</v>
      </c>
      <c r="F1089" s="13" t="s">
        <v>18</v>
      </c>
      <c r="G108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8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8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89" s="19">
        <f>IFERROR(INDEX([1]!tb_Vendas[Crédito],MATCH(tb_Auditoria[[#This Row],[Nº CONTRATO]],[1]!tb_Vendas[Nº Contrato],0)),0)</f>
        <v>50000</v>
      </c>
      <c r="K1089" s="21">
        <f>IFERROR(tb_Auditoria[[#This Row],[VALOR ESPERADO]] / tb_Auditoria[[#This Row],[VALOR CRÉDITO]], 0)</f>
        <v>0</v>
      </c>
      <c r="L1089" s="19" t="e">
        <f>SUMIFS([1]!Motor_Comissão[Valor Previsto],[1]!Motor_Comissão[Chave], tb_Auditoria[[#This Row],[Nº CONTRATO]]&amp;"-"&amp;tb_Auditoria[[#This Row],[PARCELA ATUAL]])</f>
        <v>#REF!</v>
      </c>
      <c r="M1089" s="19" t="e">
        <f>tb_Auditoria[[#This Row],[VALOR PAGO]] - tb_Auditoria[[#This Row],[VALOR ESPERADO]]</f>
        <v>#REF!</v>
      </c>
      <c r="N10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0" spans="1:15">
      <c r="A1090" s="9">
        <v>1155095</v>
      </c>
      <c r="B1090" s="10">
        <v>3</v>
      </c>
      <c r="C1090" s="37">
        <v>5.1809999999999998E-3</v>
      </c>
      <c r="D1090" s="12">
        <f>tb_Auditoria[[#This Row],[% TAXA RELATÓRIO]]*tb_Auditoria[[#This Row],[VALOR CRÉDITO]]</f>
        <v>259.05</v>
      </c>
      <c r="E1090" s="13">
        <v>46072</v>
      </c>
      <c r="F1090" s="13" t="s">
        <v>18</v>
      </c>
      <c r="G109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9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90" s="19">
        <f>IFERROR(INDEX([1]!tb_Vendas[Crédito],MATCH(tb_Auditoria[[#This Row],[Nº CONTRATO]],[1]!tb_Vendas[Nº Contrato],0)),0)</f>
        <v>50000</v>
      </c>
      <c r="K1090" s="21">
        <f>IFERROR(tb_Auditoria[[#This Row],[VALOR ESPERADO]] / tb_Auditoria[[#This Row],[VALOR CRÉDITO]], 0)</f>
        <v>0</v>
      </c>
      <c r="L1090" s="19" t="e">
        <f>SUMIFS([1]!Motor_Comissão[Valor Previsto],[1]!Motor_Comissão[Chave], tb_Auditoria[[#This Row],[Nº CONTRATO]]&amp;"-"&amp;tb_Auditoria[[#This Row],[PARCELA ATUAL]])</f>
        <v>#REF!</v>
      </c>
      <c r="M1090" s="19" t="e">
        <f>tb_Auditoria[[#This Row],[VALOR PAGO]] - tb_Auditoria[[#This Row],[VALOR ESPERADO]]</f>
        <v>#REF!</v>
      </c>
      <c r="N10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1" spans="1:15">
      <c r="A1091" s="9">
        <v>1155095</v>
      </c>
      <c r="B1091" s="10">
        <v>4</v>
      </c>
      <c r="C1091" s="37">
        <v>5.1809999999999998E-3</v>
      </c>
      <c r="D1091" s="12">
        <f>tb_Auditoria[[#This Row],[% TAXA RELATÓRIO]]*tb_Auditoria[[#This Row],[VALOR CRÉDITO]]</f>
        <v>259.05</v>
      </c>
      <c r="E1091" s="13">
        <v>46100</v>
      </c>
      <c r="F1091" s="13" t="s">
        <v>18</v>
      </c>
      <c r="G109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9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91" s="19">
        <f>IFERROR(INDEX([1]!tb_Vendas[Crédito],MATCH(tb_Auditoria[[#This Row],[Nº CONTRATO]],[1]!tb_Vendas[Nº Contrato],0)),0)</f>
        <v>50000</v>
      </c>
      <c r="K1091" s="21">
        <f>IFERROR(tb_Auditoria[[#This Row],[VALOR ESPERADO]] / tb_Auditoria[[#This Row],[VALOR CRÉDITO]], 0)</f>
        <v>0</v>
      </c>
      <c r="L1091" s="19" t="e">
        <f>SUMIFS([1]!Motor_Comissão[Valor Previsto],[1]!Motor_Comissão[Chave], tb_Auditoria[[#This Row],[Nº CONTRATO]]&amp;"-"&amp;tb_Auditoria[[#This Row],[PARCELA ATUAL]])</f>
        <v>#REF!</v>
      </c>
      <c r="M1091" s="19" t="e">
        <f>tb_Auditoria[[#This Row],[VALOR PAGO]] - tb_Auditoria[[#This Row],[VALOR ESPERADO]]</f>
        <v>#REF!</v>
      </c>
      <c r="N10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2" spans="1:15">
      <c r="A1092" s="9">
        <v>1155095</v>
      </c>
      <c r="B1092" s="10">
        <v>5</v>
      </c>
      <c r="C1092" s="37">
        <v>2.0460000000000001E-3</v>
      </c>
      <c r="D1092" s="12">
        <f>tb_Auditoria[[#This Row],[% TAXA RELATÓRIO]]*tb_Auditoria[[#This Row],[VALOR CRÉDITO]]</f>
        <v>102.3</v>
      </c>
      <c r="E1092" s="13">
        <v>46129</v>
      </c>
      <c r="F1092" s="13" t="s">
        <v>18</v>
      </c>
      <c r="G109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9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92" s="19">
        <f>IFERROR(INDEX([1]!tb_Vendas[Crédito],MATCH(tb_Auditoria[[#This Row],[Nº CONTRATO]],[1]!tb_Vendas[Nº Contrato],0)),0)</f>
        <v>50000</v>
      </c>
      <c r="K1092" s="21">
        <f>IFERROR(tb_Auditoria[[#This Row],[VALOR ESPERADO]] / tb_Auditoria[[#This Row],[VALOR CRÉDITO]], 0)</f>
        <v>0</v>
      </c>
      <c r="L1092" s="19" t="e">
        <f>SUMIFS([1]!Motor_Comissão[Valor Previsto],[1]!Motor_Comissão[Chave], tb_Auditoria[[#This Row],[Nº CONTRATO]]&amp;"-"&amp;tb_Auditoria[[#This Row],[PARCELA ATUAL]])</f>
        <v>#REF!</v>
      </c>
      <c r="M1092" s="19" t="e">
        <f>tb_Auditoria[[#This Row],[VALOR PAGO]] - tb_Auditoria[[#This Row],[VALOR ESPERADO]]</f>
        <v>#REF!</v>
      </c>
      <c r="N10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3" spans="1:15">
      <c r="A1093" s="9">
        <v>1155095</v>
      </c>
      <c r="B1093" s="10">
        <v>6</v>
      </c>
      <c r="C1093" s="37">
        <v>2.0460000000000001E-3</v>
      </c>
      <c r="D1093" s="12">
        <f>tb_Auditoria[[#This Row],[% TAXA RELATÓRIO]]*tb_Auditoria[[#This Row],[VALOR CRÉDITO]]</f>
        <v>102.3</v>
      </c>
      <c r="E1093" s="13">
        <v>46161</v>
      </c>
      <c r="F1093" s="13" t="s">
        <v>18</v>
      </c>
      <c r="G109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9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93" s="19">
        <f>IFERROR(INDEX([1]!tb_Vendas[Crédito],MATCH(tb_Auditoria[[#This Row],[Nº CONTRATO]],[1]!tb_Vendas[Nº Contrato],0)),0)</f>
        <v>50000</v>
      </c>
      <c r="K1093" s="21">
        <f>IFERROR(tb_Auditoria[[#This Row],[VALOR ESPERADO]] / tb_Auditoria[[#This Row],[VALOR CRÉDITO]], 0)</f>
        <v>0</v>
      </c>
      <c r="L1093" s="19" t="e">
        <f>SUMIFS([1]!Motor_Comissão[Valor Previsto],[1]!Motor_Comissão[Chave], tb_Auditoria[[#This Row],[Nº CONTRATO]]&amp;"-"&amp;tb_Auditoria[[#This Row],[PARCELA ATUAL]])</f>
        <v>#REF!</v>
      </c>
      <c r="M1093" s="19" t="e">
        <f>tb_Auditoria[[#This Row],[VALOR PAGO]] - tb_Auditoria[[#This Row],[VALOR ESPERADO]]</f>
        <v>#REF!</v>
      </c>
      <c r="N10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4" spans="1:15">
      <c r="A1094" s="9">
        <v>1155096</v>
      </c>
      <c r="B1094" s="10">
        <v>1</v>
      </c>
      <c r="C1094" s="37">
        <v>5.1809999999999998E-3</v>
      </c>
      <c r="D1094" s="12">
        <f>tb_Auditoria[[#This Row],[% TAXA RELATÓRIO]]*tb_Auditoria[[#This Row],[VALOR CRÉDITO]]</f>
        <v>259.05</v>
      </c>
      <c r="E1094" s="13">
        <v>46008</v>
      </c>
      <c r="F1094" s="13" t="s">
        <v>18</v>
      </c>
      <c r="G109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9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94" s="19">
        <f>IFERROR(INDEX([1]!tb_Vendas[Crédito],MATCH(tb_Auditoria[[#This Row],[Nº CONTRATO]],[1]!tb_Vendas[Nº Contrato],0)),0)</f>
        <v>50000</v>
      </c>
      <c r="K1094" s="21">
        <f>IFERROR(tb_Auditoria[[#This Row],[VALOR ESPERADO]] / tb_Auditoria[[#This Row],[VALOR CRÉDITO]], 0)</f>
        <v>0</v>
      </c>
      <c r="L1094" s="19" t="e">
        <f>SUMIFS([1]!Motor_Comissão[Valor Previsto],[1]!Motor_Comissão[Chave], tb_Auditoria[[#This Row],[Nº CONTRATO]]&amp;"-"&amp;tb_Auditoria[[#This Row],[PARCELA ATUAL]])</f>
        <v>#REF!</v>
      </c>
      <c r="M1094" s="19" t="e">
        <f>tb_Auditoria[[#This Row],[VALOR PAGO]] - tb_Auditoria[[#This Row],[VALOR ESPERADO]]</f>
        <v>#REF!</v>
      </c>
      <c r="N109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5" spans="1:15">
      <c r="A1095" s="9">
        <v>1155096</v>
      </c>
      <c r="B1095" s="10">
        <v>2</v>
      </c>
      <c r="C1095" s="37">
        <v>5.1809999999999998E-3</v>
      </c>
      <c r="D1095" s="12">
        <f>tb_Auditoria[[#This Row],[% TAXA RELATÓRIO]]*tb_Auditoria[[#This Row],[VALOR CRÉDITO]]</f>
        <v>259.05</v>
      </c>
      <c r="E1095" s="13">
        <v>46038</v>
      </c>
      <c r="F1095" s="13" t="s">
        <v>18</v>
      </c>
      <c r="G109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9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95" s="19">
        <f>IFERROR(INDEX([1]!tb_Vendas[Crédito],MATCH(tb_Auditoria[[#This Row],[Nº CONTRATO]],[1]!tb_Vendas[Nº Contrato],0)),0)</f>
        <v>50000</v>
      </c>
      <c r="K1095" s="21">
        <f>IFERROR(tb_Auditoria[[#This Row],[VALOR ESPERADO]] / tb_Auditoria[[#This Row],[VALOR CRÉDITO]], 0)</f>
        <v>0</v>
      </c>
      <c r="L1095" s="19" t="e">
        <f>SUMIFS([1]!Motor_Comissão[Valor Previsto],[1]!Motor_Comissão[Chave], tb_Auditoria[[#This Row],[Nº CONTRATO]]&amp;"-"&amp;tb_Auditoria[[#This Row],[PARCELA ATUAL]])</f>
        <v>#REF!</v>
      </c>
      <c r="M1095" s="19" t="e">
        <f>tb_Auditoria[[#This Row],[VALOR PAGO]] - tb_Auditoria[[#This Row],[VALOR ESPERADO]]</f>
        <v>#REF!</v>
      </c>
      <c r="N10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6" spans="1:15">
      <c r="A1096" s="9">
        <v>1155096</v>
      </c>
      <c r="B1096" s="10">
        <v>3</v>
      </c>
      <c r="C1096" s="37">
        <v>5.1809999999999998E-3</v>
      </c>
      <c r="D1096" s="12">
        <f>tb_Auditoria[[#This Row],[% TAXA RELATÓRIO]]*tb_Auditoria[[#This Row],[VALOR CRÉDITO]]</f>
        <v>259.05</v>
      </c>
      <c r="E1096" s="13">
        <v>46072</v>
      </c>
      <c r="F1096" s="13" t="s">
        <v>18</v>
      </c>
      <c r="G109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9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96" s="19">
        <f>IFERROR(INDEX([1]!tb_Vendas[Crédito],MATCH(tb_Auditoria[[#This Row],[Nº CONTRATO]],[1]!tb_Vendas[Nº Contrato],0)),0)</f>
        <v>50000</v>
      </c>
      <c r="K1096" s="21">
        <f>IFERROR(tb_Auditoria[[#This Row],[VALOR ESPERADO]] / tb_Auditoria[[#This Row],[VALOR CRÉDITO]], 0)</f>
        <v>0</v>
      </c>
      <c r="L1096" s="19" t="e">
        <f>SUMIFS([1]!Motor_Comissão[Valor Previsto],[1]!Motor_Comissão[Chave], tb_Auditoria[[#This Row],[Nº CONTRATO]]&amp;"-"&amp;tb_Auditoria[[#This Row],[PARCELA ATUAL]])</f>
        <v>#REF!</v>
      </c>
      <c r="M1096" s="19" t="e">
        <f>tb_Auditoria[[#This Row],[VALOR PAGO]] - tb_Auditoria[[#This Row],[VALOR ESPERADO]]</f>
        <v>#REF!</v>
      </c>
      <c r="N10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7" spans="1:15">
      <c r="A1097" s="9">
        <v>1155096</v>
      </c>
      <c r="B1097" s="10">
        <v>4</v>
      </c>
      <c r="C1097" s="37">
        <v>5.1809999999999998E-3</v>
      </c>
      <c r="D1097" s="12">
        <f>tb_Auditoria[[#This Row],[% TAXA RELATÓRIO]]*tb_Auditoria[[#This Row],[VALOR CRÉDITO]]</f>
        <v>259.05</v>
      </c>
      <c r="E1097" s="13">
        <v>46100</v>
      </c>
      <c r="F1097" s="13" t="s">
        <v>18</v>
      </c>
      <c r="G109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9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97" s="19">
        <f>IFERROR(INDEX([1]!tb_Vendas[Crédito],MATCH(tb_Auditoria[[#This Row],[Nº CONTRATO]],[1]!tb_Vendas[Nº Contrato],0)),0)</f>
        <v>50000</v>
      </c>
      <c r="K1097" s="21">
        <f>IFERROR(tb_Auditoria[[#This Row],[VALOR ESPERADO]] / tb_Auditoria[[#This Row],[VALOR CRÉDITO]], 0)</f>
        <v>0</v>
      </c>
      <c r="L1097" s="19" t="e">
        <f>SUMIFS([1]!Motor_Comissão[Valor Previsto],[1]!Motor_Comissão[Chave], tb_Auditoria[[#This Row],[Nº CONTRATO]]&amp;"-"&amp;tb_Auditoria[[#This Row],[PARCELA ATUAL]])</f>
        <v>#REF!</v>
      </c>
      <c r="M1097" s="19" t="e">
        <f>tb_Auditoria[[#This Row],[VALOR PAGO]] - tb_Auditoria[[#This Row],[VALOR ESPERADO]]</f>
        <v>#REF!</v>
      </c>
      <c r="N10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8" spans="1:15">
      <c r="A1098" s="9">
        <v>1155096</v>
      </c>
      <c r="B1098" s="10">
        <v>5</v>
      </c>
      <c r="C1098" s="37">
        <v>2.0460000000000001E-3</v>
      </c>
      <c r="D1098" s="12">
        <f>tb_Auditoria[[#This Row],[% TAXA RELATÓRIO]]*tb_Auditoria[[#This Row],[VALOR CRÉDITO]]</f>
        <v>102.3</v>
      </c>
      <c r="E1098" s="13">
        <v>46129</v>
      </c>
      <c r="F1098" s="13" t="s">
        <v>18</v>
      </c>
      <c r="G109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9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98" s="19">
        <f>IFERROR(INDEX([1]!tb_Vendas[Crédito],MATCH(tb_Auditoria[[#This Row],[Nº CONTRATO]],[1]!tb_Vendas[Nº Contrato],0)),0)</f>
        <v>50000</v>
      </c>
      <c r="K1098" s="21">
        <f>IFERROR(tb_Auditoria[[#This Row],[VALOR ESPERADO]] / tb_Auditoria[[#This Row],[VALOR CRÉDITO]], 0)</f>
        <v>0</v>
      </c>
      <c r="L1098" s="19" t="e">
        <f>SUMIFS([1]!Motor_Comissão[Valor Previsto],[1]!Motor_Comissão[Chave], tb_Auditoria[[#This Row],[Nº CONTRATO]]&amp;"-"&amp;tb_Auditoria[[#This Row],[PARCELA ATUAL]])</f>
        <v>#REF!</v>
      </c>
      <c r="M1098" s="19" t="e">
        <f>tb_Auditoria[[#This Row],[VALOR PAGO]] - tb_Auditoria[[#This Row],[VALOR ESPERADO]]</f>
        <v>#REF!</v>
      </c>
      <c r="N10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099" spans="1:15">
      <c r="A1099" s="9">
        <v>1155096</v>
      </c>
      <c r="B1099" s="10">
        <v>6</v>
      </c>
      <c r="C1099" s="37">
        <v>2.0460000000000001E-3</v>
      </c>
      <c r="D1099" s="12">
        <f>tb_Auditoria[[#This Row],[% TAXA RELATÓRIO]]*tb_Auditoria[[#This Row],[VALOR CRÉDITO]]</f>
        <v>102.3</v>
      </c>
      <c r="E1099" s="13">
        <v>46161</v>
      </c>
      <c r="F1099" s="13" t="s">
        <v>18</v>
      </c>
      <c r="G109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09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LUCAS SALLES DE AMORIM PEREIRA</v>
      </c>
      <c r="I109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099" s="19">
        <f>IFERROR(INDEX([1]!tb_Vendas[Crédito],MATCH(tb_Auditoria[[#This Row],[Nº CONTRATO]],[1]!tb_Vendas[Nº Contrato],0)),0)</f>
        <v>50000</v>
      </c>
      <c r="K1099" s="21">
        <f>IFERROR(tb_Auditoria[[#This Row],[VALOR ESPERADO]] / tb_Auditoria[[#This Row],[VALOR CRÉDITO]], 0)</f>
        <v>0</v>
      </c>
      <c r="L1099" s="19" t="e">
        <f>SUMIFS([1]!Motor_Comissão[Valor Previsto],[1]!Motor_Comissão[Chave], tb_Auditoria[[#This Row],[Nº CONTRATO]]&amp;"-"&amp;tb_Auditoria[[#This Row],[PARCELA ATUAL]])</f>
        <v>#REF!</v>
      </c>
      <c r="M1099" s="19" t="e">
        <f>tb_Auditoria[[#This Row],[VALOR PAGO]] - tb_Auditoria[[#This Row],[VALOR ESPERADO]]</f>
        <v>#REF!</v>
      </c>
      <c r="N10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0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0" spans="1:15">
      <c r="A1100" s="9">
        <v>1156169</v>
      </c>
      <c r="B1100" s="10">
        <v>1</v>
      </c>
      <c r="C1100" s="37">
        <v>1.5E-3</v>
      </c>
      <c r="D1100" s="12">
        <f>tb_Auditoria[[#This Row],[% TAXA RELATÓRIO]]*tb_Auditoria[[#This Row],[VALOR CRÉDITO]]</f>
        <v>600</v>
      </c>
      <c r="E1100" s="13">
        <v>46008</v>
      </c>
      <c r="F1100" s="13" t="s">
        <v>18</v>
      </c>
      <c r="G110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0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00" s="19">
        <f>IFERROR(INDEX([1]!tb_Vendas[Crédito],MATCH(tb_Auditoria[[#This Row],[Nº CONTRATO]],[1]!tb_Vendas[Nº Contrato],0)),0)</f>
        <v>400000</v>
      </c>
      <c r="K1100" s="21">
        <f>IFERROR(tb_Auditoria[[#This Row],[VALOR ESPERADO]] / tb_Auditoria[[#This Row],[VALOR CRÉDITO]], 0)</f>
        <v>0</v>
      </c>
      <c r="L1100" s="19" t="e">
        <f>SUMIFS([1]!Motor_Comissão[Valor Previsto],[1]!Motor_Comissão[Chave], tb_Auditoria[[#This Row],[Nº CONTRATO]]&amp;"-"&amp;tb_Auditoria[[#This Row],[PARCELA ATUAL]])</f>
        <v>#REF!</v>
      </c>
      <c r="M1100" s="19" t="e">
        <f>tb_Auditoria[[#This Row],[VALOR PAGO]] - tb_Auditoria[[#This Row],[VALOR ESPERADO]]</f>
        <v>#REF!</v>
      </c>
      <c r="N11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1" spans="1:15">
      <c r="A1101" s="9">
        <v>1156169</v>
      </c>
      <c r="B1101" s="10">
        <v>2</v>
      </c>
      <c r="C1101" s="37">
        <v>1.5E-3</v>
      </c>
      <c r="D1101" s="12">
        <f>tb_Auditoria[[#This Row],[% TAXA RELATÓRIO]]*tb_Auditoria[[#This Row],[VALOR CRÉDITO]]</f>
        <v>600</v>
      </c>
      <c r="E1101" s="13">
        <v>46038</v>
      </c>
      <c r="F1101" s="13" t="s">
        <v>18</v>
      </c>
      <c r="G110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0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01" s="19">
        <f>IFERROR(INDEX([1]!tb_Vendas[Crédito],MATCH(tb_Auditoria[[#This Row],[Nº CONTRATO]],[1]!tb_Vendas[Nº Contrato],0)),0)</f>
        <v>400000</v>
      </c>
      <c r="K1101" s="21">
        <f>IFERROR(tb_Auditoria[[#This Row],[VALOR ESPERADO]] / tb_Auditoria[[#This Row],[VALOR CRÉDITO]], 0)</f>
        <v>0</v>
      </c>
      <c r="L1101" s="19" t="e">
        <f>SUMIFS([1]!Motor_Comissão[Valor Previsto],[1]!Motor_Comissão[Chave], tb_Auditoria[[#This Row],[Nº CONTRATO]]&amp;"-"&amp;tb_Auditoria[[#This Row],[PARCELA ATUAL]])</f>
        <v>#REF!</v>
      </c>
      <c r="M1101" s="19" t="e">
        <f>tb_Auditoria[[#This Row],[VALOR PAGO]] - tb_Auditoria[[#This Row],[VALOR ESPERADO]]</f>
        <v>#REF!</v>
      </c>
      <c r="N11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2" spans="1:15">
      <c r="A1102" s="9">
        <v>1156169</v>
      </c>
      <c r="B1102" s="10">
        <v>3</v>
      </c>
      <c r="C1102" s="37">
        <v>1.5E-3</v>
      </c>
      <c r="D1102" s="12">
        <f>tb_Auditoria[[#This Row],[% TAXA RELATÓRIO]]*tb_Auditoria[[#This Row],[VALOR CRÉDITO]]</f>
        <v>600</v>
      </c>
      <c r="E1102" s="13">
        <v>46072</v>
      </c>
      <c r="F1102" s="13" t="s">
        <v>18</v>
      </c>
      <c r="G110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0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02" s="19">
        <f>IFERROR(INDEX([1]!tb_Vendas[Crédito],MATCH(tb_Auditoria[[#This Row],[Nº CONTRATO]],[1]!tb_Vendas[Nº Contrato],0)),0)</f>
        <v>400000</v>
      </c>
      <c r="K1102" s="21">
        <f>IFERROR(tb_Auditoria[[#This Row],[VALOR ESPERADO]] / tb_Auditoria[[#This Row],[VALOR CRÉDITO]], 0)</f>
        <v>0</v>
      </c>
      <c r="L1102" s="19" t="e">
        <f>SUMIFS([1]!Motor_Comissão[Valor Previsto],[1]!Motor_Comissão[Chave], tb_Auditoria[[#This Row],[Nº CONTRATO]]&amp;"-"&amp;tb_Auditoria[[#This Row],[PARCELA ATUAL]])</f>
        <v>#REF!</v>
      </c>
      <c r="M1102" s="19" t="e">
        <f>tb_Auditoria[[#This Row],[VALOR PAGO]] - tb_Auditoria[[#This Row],[VALOR ESPERADO]]</f>
        <v>#REF!</v>
      </c>
      <c r="N11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3" spans="1:15">
      <c r="A1103" s="9">
        <v>1156169</v>
      </c>
      <c r="B1103" s="10">
        <v>4</v>
      </c>
      <c r="C1103" s="37">
        <v>1.5E-3</v>
      </c>
      <c r="D1103" s="12">
        <f>tb_Auditoria[[#This Row],[% TAXA RELATÓRIO]]*tb_Auditoria[[#This Row],[VALOR CRÉDITO]]</f>
        <v>600</v>
      </c>
      <c r="E1103" s="13">
        <v>46100</v>
      </c>
      <c r="F1103" s="13" t="s">
        <v>18</v>
      </c>
      <c r="G110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0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03" s="19">
        <f>IFERROR(INDEX([1]!tb_Vendas[Crédito],MATCH(tb_Auditoria[[#This Row],[Nº CONTRATO]],[1]!tb_Vendas[Nº Contrato],0)),0)</f>
        <v>400000</v>
      </c>
      <c r="K1103" s="21">
        <f>IFERROR(tb_Auditoria[[#This Row],[VALOR ESPERADO]] / tb_Auditoria[[#This Row],[VALOR CRÉDITO]], 0)</f>
        <v>0</v>
      </c>
      <c r="L1103" s="19" t="e">
        <f>SUMIFS([1]!Motor_Comissão[Valor Previsto],[1]!Motor_Comissão[Chave], tb_Auditoria[[#This Row],[Nº CONTRATO]]&amp;"-"&amp;tb_Auditoria[[#This Row],[PARCELA ATUAL]])</f>
        <v>#REF!</v>
      </c>
      <c r="M1103" s="19" t="e">
        <f>tb_Auditoria[[#This Row],[VALOR PAGO]] - tb_Auditoria[[#This Row],[VALOR ESPERADO]]</f>
        <v>#REF!</v>
      </c>
      <c r="N11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4" spans="1:15">
      <c r="A1104" s="9">
        <v>1156169</v>
      </c>
      <c r="B1104" s="10">
        <v>5</v>
      </c>
      <c r="C1104" s="37">
        <v>1.5E-3</v>
      </c>
      <c r="D1104" s="12">
        <f>tb_Auditoria[[#This Row],[% TAXA RELATÓRIO]]*tb_Auditoria[[#This Row],[VALOR CRÉDITO]]</f>
        <v>600</v>
      </c>
      <c r="E1104" s="13">
        <v>46129</v>
      </c>
      <c r="F1104" s="13" t="s">
        <v>18</v>
      </c>
      <c r="G110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0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04" s="19">
        <f>IFERROR(INDEX([1]!tb_Vendas[Crédito],MATCH(tb_Auditoria[[#This Row],[Nº CONTRATO]],[1]!tb_Vendas[Nº Contrato],0)),0)</f>
        <v>400000</v>
      </c>
      <c r="K1104" s="21">
        <f>IFERROR(tb_Auditoria[[#This Row],[VALOR ESPERADO]] / tb_Auditoria[[#This Row],[VALOR CRÉDITO]], 0)</f>
        <v>0</v>
      </c>
      <c r="L1104" s="19" t="e">
        <f>SUMIFS([1]!Motor_Comissão[Valor Previsto],[1]!Motor_Comissão[Chave], tb_Auditoria[[#This Row],[Nº CONTRATO]]&amp;"-"&amp;tb_Auditoria[[#This Row],[PARCELA ATUAL]])</f>
        <v>#REF!</v>
      </c>
      <c r="M1104" s="19" t="e">
        <f>tb_Auditoria[[#This Row],[VALOR PAGO]] - tb_Auditoria[[#This Row],[VALOR ESPERADO]]</f>
        <v>#REF!</v>
      </c>
      <c r="N11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5" spans="1:15">
      <c r="A1105" s="9">
        <v>1156169</v>
      </c>
      <c r="B1105" s="10">
        <v>6</v>
      </c>
      <c r="C1105" s="37">
        <v>1.5E-3</v>
      </c>
      <c r="D1105" s="12">
        <f>tb_Auditoria[[#This Row],[% TAXA RELATÓRIO]]*tb_Auditoria[[#This Row],[VALOR CRÉDITO]]</f>
        <v>600</v>
      </c>
      <c r="E1105" s="13">
        <v>46161</v>
      </c>
      <c r="F1105" s="13" t="s">
        <v>18</v>
      </c>
      <c r="G110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0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05" s="19">
        <f>IFERROR(INDEX([1]!tb_Vendas[Crédito],MATCH(tb_Auditoria[[#This Row],[Nº CONTRATO]],[1]!tb_Vendas[Nº Contrato],0)),0)</f>
        <v>400000</v>
      </c>
      <c r="K1105" s="21">
        <f>IFERROR(tb_Auditoria[[#This Row],[VALOR ESPERADO]] / tb_Auditoria[[#This Row],[VALOR CRÉDITO]], 0)</f>
        <v>0</v>
      </c>
      <c r="L1105" s="19" t="e">
        <f>SUMIFS([1]!Motor_Comissão[Valor Previsto],[1]!Motor_Comissão[Chave], tb_Auditoria[[#This Row],[Nº CONTRATO]]&amp;"-"&amp;tb_Auditoria[[#This Row],[PARCELA ATUAL]])</f>
        <v>#REF!</v>
      </c>
      <c r="M1105" s="19" t="e">
        <f>tb_Auditoria[[#This Row],[VALOR PAGO]] - tb_Auditoria[[#This Row],[VALOR ESPERADO]]</f>
        <v>#REF!</v>
      </c>
      <c r="N11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6" spans="1:15">
      <c r="A1106" s="9">
        <v>1156171</v>
      </c>
      <c r="B1106" s="10">
        <v>1</v>
      </c>
      <c r="C1106" s="37">
        <v>1.5E-3</v>
      </c>
      <c r="D1106" s="12">
        <f>tb_Auditoria[[#This Row],[% TAXA RELATÓRIO]]*tb_Auditoria[[#This Row],[VALOR CRÉDITO]]</f>
        <v>600</v>
      </c>
      <c r="E1106" s="13">
        <v>46008</v>
      </c>
      <c r="F1106" s="13" t="s">
        <v>18</v>
      </c>
      <c r="G110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0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06" s="19">
        <f>IFERROR(INDEX([1]!tb_Vendas[Crédito],MATCH(tb_Auditoria[[#This Row],[Nº CONTRATO]],[1]!tb_Vendas[Nº Contrato],0)),0)</f>
        <v>400000</v>
      </c>
      <c r="K1106" s="21">
        <f>IFERROR(tb_Auditoria[[#This Row],[VALOR ESPERADO]] / tb_Auditoria[[#This Row],[VALOR CRÉDITO]], 0)</f>
        <v>0</v>
      </c>
      <c r="L1106" s="19" t="e">
        <f>SUMIFS([1]!Motor_Comissão[Valor Previsto],[1]!Motor_Comissão[Chave], tb_Auditoria[[#This Row],[Nº CONTRATO]]&amp;"-"&amp;tb_Auditoria[[#This Row],[PARCELA ATUAL]])</f>
        <v>#REF!</v>
      </c>
      <c r="M1106" s="19" t="e">
        <f>tb_Auditoria[[#This Row],[VALOR PAGO]] - tb_Auditoria[[#This Row],[VALOR ESPERADO]]</f>
        <v>#REF!</v>
      </c>
      <c r="N11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7" spans="1:15">
      <c r="A1107" s="9">
        <v>1156171</v>
      </c>
      <c r="B1107" s="10">
        <v>2</v>
      </c>
      <c r="C1107" s="37">
        <v>1.5E-3</v>
      </c>
      <c r="D1107" s="12">
        <f>tb_Auditoria[[#This Row],[% TAXA RELATÓRIO]]*tb_Auditoria[[#This Row],[VALOR CRÉDITO]]</f>
        <v>600</v>
      </c>
      <c r="E1107" s="13">
        <v>46038</v>
      </c>
      <c r="F1107" s="13" t="s">
        <v>18</v>
      </c>
      <c r="G110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0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07" s="19">
        <f>IFERROR(INDEX([1]!tb_Vendas[Crédito],MATCH(tb_Auditoria[[#This Row],[Nº CONTRATO]],[1]!tb_Vendas[Nº Contrato],0)),0)</f>
        <v>400000</v>
      </c>
      <c r="K1107" s="21">
        <f>IFERROR(tb_Auditoria[[#This Row],[VALOR ESPERADO]] / tb_Auditoria[[#This Row],[VALOR CRÉDITO]], 0)</f>
        <v>0</v>
      </c>
      <c r="L1107" s="19" t="e">
        <f>SUMIFS([1]!Motor_Comissão[Valor Previsto],[1]!Motor_Comissão[Chave], tb_Auditoria[[#This Row],[Nº CONTRATO]]&amp;"-"&amp;tb_Auditoria[[#This Row],[PARCELA ATUAL]])</f>
        <v>#REF!</v>
      </c>
      <c r="M1107" s="19" t="e">
        <f>tb_Auditoria[[#This Row],[VALOR PAGO]] - tb_Auditoria[[#This Row],[VALOR ESPERADO]]</f>
        <v>#REF!</v>
      </c>
      <c r="N11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8" spans="1:15">
      <c r="A1108" s="9">
        <v>1156171</v>
      </c>
      <c r="B1108" s="10">
        <v>3</v>
      </c>
      <c r="C1108" s="37">
        <v>1.5E-3</v>
      </c>
      <c r="D1108" s="12">
        <f>tb_Auditoria[[#This Row],[% TAXA RELATÓRIO]]*tb_Auditoria[[#This Row],[VALOR CRÉDITO]]</f>
        <v>600</v>
      </c>
      <c r="E1108" s="13">
        <v>46072</v>
      </c>
      <c r="F1108" s="13" t="s">
        <v>18</v>
      </c>
      <c r="G110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0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08" s="19">
        <f>IFERROR(INDEX([1]!tb_Vendas[Crédito],MATCH(tb_Auditoria[[#This Row],[Nº CONTRATO]],[1]!tb_Vendas[Nº Contrato],0)),0)</f>
        <v>400000</v>
      </c>
      <c r="K1108" s="21">
        <f>IFERROR(tb_Auditoria[[#This Row],[VALOR ESPERADO]] / tb_Auditoria[[#This Row],[VALOR CRÉDITO]], 0)</f>
        <v>0</v>
      </c>
      <c r="L1108" s="19" t="e">
        <f>SUMIFS([1]!Motor_Comissão[Valor Previsto],[1]!Motor_Comissão[Chave], tb_Auditoria[[#This Row],[Nº CONTRATO]]&amp;"-"&amp;tb_Auditoria[[#This Row],[PARCELA ATUAL]])</f>
        <v>#REF!</v>
      </c>
      <c r="M1108" s="19" t="e">
        <f>tb_Auditoria[[#This Row],[VALOR PAGO]] - tb_Auditoria[[#This Row],[VALOR ESPERADO]]</f>
        <v>#REF!</v>
      </c>
      <c r="N11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09" spans="1:15">
      <c r="A1109" s="9">
        <v>1156171</v>
      </c>
      <c r="B1109" s="10">
        <v>4</v>
      </c>
      <c r="C1109" s="37">
        <v>1.5E-3</v>
      </c>
      <c r="D1109" s="12">
        <f>tb_Auditoria[[#This Row],[% TAXA RELATÓRIO]]*tb_Auditoria[[#This Row],[VALOR CRÉDITO]]</f>
        <v>600</v>
      </c>
      <c r="E1109" s="13">
        <v>46100</v>
      </c>
      <c r="F1109" s="13" t="s">
        <v>18</v>
      </c>
      <c r="G110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0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0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09" s="19">
        <f>IFERROR(INDEX([1]!tb_Vendas[Crédito],MATCH(tb_Auditoria[[#This Row],[Nº CONTRATO]],[1]!tb_Vendas[Nº Contrato],0)),0)</f>
        <v>400000</v>
      </c>
      <c r="K1109" s="21">
        <f>IFERROR(tb_Auditoria[[#This Row],[VALOR ESPERADO]] / tb_Auditoria[[#This Row],[VALOR CRÉDITO]], 0)</f>
        <v>0</v>
      </c>
      <c r="L1109" s="19" t="e">
        <f>SUMIFS([1]!Motor_Comissão[Valor Previsto],[1]!Motor_Comissão[Chave], tb_Auditoria[[#This Row],[Nº CONTRATO]]&amp;"-"&amp;tb_Auditoria[[#This Row],[PARCELA ATUAL]])</f>
        <v>#REF!</v>
      </c>
      <c r="M1109" s="19" t="e">
        <f>tb_Auditoria[[#This Row],[VALOR PAGO]] - tb_Auditoria[[#This Row],[VALOR ESPERADO]]</f>
        <v>#REF!</v>
      </c>
      <c r="N11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0" spans="1:15">
      <c r="A1110" s="9">
        <v>1156171</v>
      </c>
      <c r="B1110" s="10">
        <v>5</v>
      </c>
      <c r="C1110" s="37">
        <v>1.5E-3</v>
      </c>
      <c r="D1110" s="12">
        <f>tb_Auditoria[[#This Row],[% TAXA RELATÓRIO]]*tb_Auditoria[[#This Row],[VALOR CRÉDITO]]</f>
        <v>600</v>
      </c>
      <c r="E1110" s="13">
        <v>46129</v>
      </c>
      <c r="F1110" s="13" t="s">
        <v>18</v>
      </c>
      <c r="G111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1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10" s="19">
        <f>IFERROR(INDEX([1]!tb_Vendas[Crédito],MATCH(tb_Auditoria[[#This Row],[Nº CONTRATO]],[1]!tb_Vendas[Nº Contrato],0)),0)</f>
        <v>400000</v>
      </c>
      <c r="K1110" s="21">
        <f>IFERROR(tb_Auditoria[[#This Row],[VALOR ESPERADO]] / tb_Auditoria[[#This Row],[VALOR CRÉDITO]], 0)</f>
        <v>0</v>
      </c>
      <c r="L1110" s="19" t="e">
        <f>SUMIFS([1]!Motor_Comissão[Valor Previsto],[1]!Motor_Comissão[Chave], tb_Auditoria[[#This Row],[Nº CONTRATO]]&amp;"-"&amp;tb_Auditoria[[#This Row],[PARCELA ATUAL]])</f>
        <v>#REF!</v>
      </c>
      <c r="M1110" s="19" t="e">
        <f>tb_Auditoria[[#This Row],[VALOR PAGO]] - tb_Auditoria[[#This Row],[VALOR ESPERADO]]</f>
        <v>#REF!</v>
      </c>
      <c r="N11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1" spans="1:15">
      <c r="A1111" s="9">
        <v>1156171</v>
      </c>
      <c r="B1111" s="10">
        <v>6</v>
      </c>
      <c r="C1111" s="37">
        <v>1.5E-3</v>
      </c>
      <c r="D1111" s="12">
        <f>tb_Auditoria[[#This Row],[% TAXA RELATÓRIO]]*tb_Auditoria[[#This Row],[VALOR CRÉDITO]]</f>
        <v>600</v>
      </c>
      <c r="E1111" s="13">
        <v>46161</v>
      </c>
      <c r="F1111" s="13" t="s">
        <v>18</v>
      </c>
      <c r="G111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1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11" s="19">
        <f>IFERROR(INDEX([1]!tb_Vendas[Crédito],MATCH(tb_Auditoria[[#This Row],[Nº CONTRATO]],[1]!tb_Vendas[Nº Contrato],0)),0)</f>
        <v>400000</v>
      </c>
      <c r="K1111" s="21">
        <f>IFERROR(tb_Auditoria[[#This Row],[VALOR ESPERADO]] / tb_Auditoria[[#This Row],[VALOR CRÉDITO]], 0)</f>
        <v>0</v>
      </c>
      <c r="L1111" s="19" t="e">
        <f>SUMIFS([1]!Motor_Comissão[Valor Previsto],[1]!Motor_Comissão[Chave], tb_Auditoria[[#This Row],[Nº CONTRATO]]&amp;"-"&amp;tb_Auditoria[[#This Row],[PARCELA ATUAL]])</f>
        <v>#REF!</v>
      </c>
      <c r="M1111" s="19" t="e">
        <f>tb_Auditoria[[#This Row],[VALOR PAGO]] - tb_Auditoria[[#This Row],[VALOR ESPERADO]]</f>
        <v>#REF!</v>
      </c>
      <c r="N11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2" spans="1:15">
      <c r="A1112" s="9">
        <v>1156189</v>
      </c>
      <c r="B1112" s="10">
        <v>1</v>
      </c>
      <c r="C1112" s="37">
        <v>1.5E-3</v>
      </c>
      <c r="D1112" s="12">
        <f>tb_Auditoria[[#This Row],[% TAXA RELATÓRIO]]*tb_Auditoria[[#This Row],[VALOR CRÉDITO]]</f>
        <v>600</v>
      </c>
      <c r="E1112" s="13">
        <v>46008</v>
      </c>
      <c r="F1112" s="13" t="s">
        <v>18</v>
      </c>
      <c r="G111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1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12" s="19">
        <f>IFERROR(INDEX([1]!tb_Vendas[Crédito],MATCH(tb_Auditoria[[#This Row],[Nº CONTRATO]],[1]!tb_Vendas[Nº Contrato],0)),0)</f>
        <v>400000</v>
      </c>
      <c r="K1112" s="21">
        <f>IFERROR(tb_Auditoria[[#This Row],[VALOR ESPERADO]] / tb_Auditoria[[#This Row],[VALOR CRÉDITO]], 0)</f>
        <v>0</v>
      </c>
      <c r="L1112" s="19" t="e">
        <f>SUMIFS([1]!Motor_Comissão[Valor Previsto],[1]!Motor_Comissão[Chave], tb_Auditoria[[#This Row],[Nº CONTRATO]]&amp;"-"&amp;tb_Auditoria[[#This Row],[PARCELA ATUAL]])</f>
        <v>#REF!</v>
      </c>
      <c r="M1112" s="19" t="e">
        <f>tb_Auditoria[[#This Row],[VALOR PAGO]] - tb_Auditoria[[#This Row],[VALOR ESPERADO]]</f>
        <v>#REF!</v>
      </c>
      <c r="N111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3" spans="1:15">
      <c r="A1113" s="9">
        <v>1156189</v>
      </c>
      <c r="B1113" s="10">
        <v>2</v>
      </c>
      <c r="C1113" s="37">
        <v>1.5E-3</v>
      </c>
      <c r="D1113" s="12">
        <f>tb_Auditoria[[#This Row],[% TAXA RELATÓRIO]]*tb_Auditoria[[#This Row],[VALOR CRÉDITO]]</f>
        <v>600</v>
      </c>
      <c r="E1113" s="13">
        <v>46038</v>
      </c>
      <c r="F1113" s="13" t="s">
        <v>18</v>
      </c>
      <c r="G111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1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13" s="19">
        <f>IFERROR(INDEX([1]!tb_Vendas[Crédito],MATCH(tb_Auditoria[[#This Row],[Nº CONTRATO]],[1]!tb_Vendas[Nº Contrato],0)),0)</f>
        <v>400000</v>
      </c>
      <c r="K1113" s="21">
        <f>IFERROR(tb_Auditoria[[#This Row],[VALOR ESPERADO]] / tb_Auditoria[[#This Row],[VALOR CRÉDITO]], 0)</f>
        <v>0</v>
      </c>
      <c r="L1113" s="19" t="e">
        <f>SUMIFS([1]!Motor_Comissão[Valor Previsto],[1]!Motor_Comissão[Chave], tb_Auditoria[[#This Row],[Nº CONTRATO]]&amp;"-"&amp;tb_Auditoria[[#This Row],[PARCELA ATUAL]])</f>
        <v>#REF!</v>
      </c>
      <c r="M1113" s="19" t="e">
        <f>tb_Auditoria[[#This Row],[VALOR PAGO]] - tb_Auditoria[[#This Row],[VALOR ESPERADO]]</f>
        <v>#REF!</v>
      </c>
      <c r="N111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4" spans="1:15">
      <c r="A1114" s="9">
        <v>1156189</v>
      </c>
      <c r="B1114" s="10">
        <v>3</v>
      </c>
      <c r="C1114" s="37">
        <v>1.5E-3</v>
      </c>
      <c r="D1114" s="12">
        <f>tb_Auditoria[[#This Row],[% TAXA RELATÓRIO]]*tb_Auditoria[[#This Row],[VALOR CRÉDITO]]</f>
        <v>600</v>
      </c>
      <c r="E1114" s="13">
        <v>46072</v>
      </c>
      <c r="F1114" s="13" t="s">
        <v>18</v>
      </c>
      <c r="G111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1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14" s="19">
        <f>IFERROR(INDEX([1]!tb_Vendas[Crédito],MATCH(tb_Auditoria[[#This Row],[Nº CONTRATO]],[1]!tb_Vendas[Nº Contrato],0)),0)</f>
        <v>400000</v>
      </c>
      <c r="K1114" s="21">
        <f>IFERROR(tb_Auditoria[[#This Row],[VALOR ESPERADO]] / tb_Auditoria[[#This Row],[VALOR CRÉDITO]], 0)</f>
        <v>0</v>
      </c>
      <c r="L1114" s="19" t="e">
        <f>SUMIFS([1]!Motor_Comissão[Valor Previsto],[1]!Motor_Comissão[Chave], tb_Auditoria[[#This Row],[Nº CONTRATO]]&amp;"-"&amp;tb_Auditoria[[#This Row],[PARCELA ATUAL]])</f>
        <v>#REF!</v>
      </c>
      <c r="M1114" s="19" t="e">
        <f>tb_Auditoria[[#This Row],[VALOR PAGO]] - tb_Auditoria[[#This Row],[VALOR ESPERADO]]</f>
        <v>#REF!</v>
      </c>
      <c r="N11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5" spans="1:15">
      <c r="A1115" s="9">
        <v>1156189</v>
      </c>
      <c r="B1115" s="10">
        <v>4</v>
      </c>
      <c r="C1115" s="37">
        <v>1.5E-3</v>
      </c>
      <c r="D1115" s="12">
        <f>tb_Auditoria[[#This Row],[% TAXA RELATÓRIO]]*tb_Auditoria[[#This Row],[VALOR CRÉDITO]]</f>
        <v>600</v>
      </c>
      <c r="E1115" s="13">
        <v>46100</v>
      </c>
      <c r="F1115" s="13" t="s">
        <v>18</v>
      </c>
      <c r="G111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1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15" s="19">
        <f>IFERROR(INDEX([1]!tb_Vendas[Crédito],MATCH(tb_Auditoria[[#This Row],[Nº CONTRATO]],[1]!tb_Vendas[Nº Contrato],0)),0)</f>
        <v>400000</v>
      </c>
      <c r="K1115" s="21">
        <f>IFERROR(tb_Auditoria[[#This Row],[VALOR ESPERADO]] / tb_Auditoria[[#This Row],[VALOR CRÉDITO]], 0)</f>
        <v>0</v>
      </c>
      <c r="L1115" s="19" t="e">
        <f>SUMIFS([1]!Motor_Comissão[Valor Previsto],[1]!Motor_Comissão[Chave], tb_Auditoria[[#This Row],[Nº CONTRATO]]&amp;"-"&amp;tb_Auditoria[[#This Row],[PARCELA ATUAL]])</f>
        <v>#REF!</v>
      </c>
      <c r="M1115" s="19" t="e">
        <f>tb_Auditoria[[#This Row],[VALOR PAGO]] - tb_Auditoria[[#This Row],[VALOR ESPERADO]]</f>
        <v>#REF!</v>
      </c>
      <c r="N11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6" spans="1:15">
      <c r="A1116" s="9">
        <v>1156189</v>
      </c>
      <c r="B1116" s="10">
        <v>5</v>
      </c>
      <c r="C1116" s="37">
        <v>1.5E-3</v>
      </c>
      <c r="D1116" s="12">
        <f>tb_Auditoria[[#This Row],[% TAXA RELATÓRIO]]*tb_Auditoria[[#This Row],[VALOR CRÉDITO]]</f>
        <v>600</v>
      </c>
      <c r="E1116" s="13">
        <v>46129</v>
      </c>
      <c r="F1116" s="13" t="s">
        <v>18</v>
      </c>
      <c r="G111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1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16" s="19">
        <f>IFERROR(INDEX([1]!tb_Vendas[Crédito],MATCH(tb_Auditoria[[#This Row],[Nº CONTRATO]],[1]!tb_Vendas[Nº Contrato],0)),0)</f>
        <v>400000</v>
      </c>
      <c r="K1116" s="21">
        <f>IFERROR(tb_Auditoria[[#This Row],[VALOR ESPERADO]] / tb_Auditoria[[#This Row],[VALOR CRÉDITO]], 0)</f>
        <v>0</v>
      </c>
      <c r="L1116" s="19" t="e">
        <f>SUMIFS([1]!Motor_Comissão[Valor Previsto],[1]!Motor_Comissão[Chave], tb_Auditoria[[#This Row],[Nº CONTRATO]]&amp;"-"&amp;tb_Auditoria[[#This Row],[PARCELA ATUAL]])</f>
        <v>#REF!</v>
      </c>
      <c r="M1116" s="19" t="e">
        <f>tb_Auditoria[[#This Row],[VALOR PAGO]] - tb_Auditoria[[#This Row],[VALOR ESPERADO]]</f>
        <v>#REF!</v>
      </c>
      <c r="N11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7" spans="1:15">
      <c r="A1117" s="9">
        <v>1156189</v>
      </c>
      <c r="B1117" s="10">
        <v>6</v>
      </c>
      <c r="C1117" s="37">
        <v>1.5E-3</v>
      </c>
      <c r="D1117" s="12">
        <f>tb_Auditoria[[#This Row],[% TAXA RELATÓRIO]]*tb_Auditoria[[#This Row],[VALOR CRÉDITO]]</f>
        <v>600</v>
      </c>
      <c r="E1117" s="13">
        <v>46161</v>
      </c>
      <c r="F1117" s="13" t="s">
        <v>18</v>
      </c>
      <c r="G111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1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17" s="19">
        <f>IFERROR(INDEX([1]!tb_Vendas[Crédito],MATCH(tb_Auditoria[[#This Row],[Nº CONTRATO]],[1]!tb_Vendas[Nº Contrato],0)),0)</f>
        <v>400000</v>
      </c>
      <c r="K1117" s="21">
        <f>IFERROR(tb_Auditoria[[#This Row],[VALOR ESPERADO]] / tb_Auditoria[[#This Row],[VALOR CRÉDITO]], 0)</f>
        <v>0</v>
      </c>
      <c r="L1117" s="19" t="e">
        <f>SUMIFS([1]!Motor_Comissão[Valor Previsto],[1]!Motor_Comissão[Chave], tb_Auditoria[[#This Row],[Nº CONTRATO]]&amp;"-"&amp;tb_Auditoria[[#This Row],[PARCELA ATUAL]])</f>
        <v>#REF!</v>
      </c>
      <c r="M1117" s="19" t="e">
        <f>tb_Auditoria[[#This Row],[VALOR PAGO]] - tb_Auditoria[[#This Row],[VALOR ESPERADO]]</f>
        <v>#REF!</v>
      </c>
      <c r="N11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8" spans="1:15">
      <c r="A1118" s="9">
        <v>1156190</v>
      </c>
      <c r="B1118" s="10">
        <v>1</v>
      </c>
      <c r="C1118" s="37">
        <v>1.5E-3</v>
      </c>
      <c r="D1118" s="12">
        <f>tb_Auditoria[[#This Row],[% TAXA RELATÓRIO]]*tb_Auditoria[[#This Row],[VALOR CRÉDITO]]</f>
        <v>600</v>
      </c>
      <c r="E1118" s="13">
        <v>46008</v>
      </c>
      <c r="F1118" s="13" t="s">
        <v>18</v>
      </c>
      <c r="G111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1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18" s="19">
        <f>IFERROR(INDEX([1]!tb_Vendas[Crédito],MATCH(tb_Auditoria[[#This Row],[Nº CONTRATO]],[1]!tb_Vendas[Nº Contrato],0)),0)</f>
        <v>400000</v>
      </c>
      <c r="K1118" s="21">
        <f>IFERROR(tb_Auditoria[[#This Row],[VALOR ESPERADO]] / tb_Auditoria[[#This Row],[VALOR CRÉDITO]], 0)</f>
        <v>0</v>
      </c>
      <c r="L1118" s="19" t="e">
        <f>SUMIFS([1]!Motor_Comissão[Valor Previsto],[1]!Motor_Comissão[Chave], tb_Auditoria[[#This Row],[Nº CONTRATO]]&amp;"-"&amp;tb_Auditoria[[#This Row],[PARCELA ATUAL]])</f>
        <v>#REF!</v>
      </c>
      <c r="M1118" s="19" t="e">
        <f>tb_Auditoria[[#This Row],[VALOR PAGO]] - tb_Auditoria[[#This Row],[VALOR ESPERADO]]</f>
        <v>#REF!</v>
      </c>
      <c r="N11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19" spans="1:15">
      <c r="A1119" s="9">
        <v>1156190</v>
      </c>
      <c r="B1119" s="10">
        <v>2</v>
      </c>
      <c r="C1119" s="40">
        <v>1.5E-3</v>
      </c>
      <c r="D1119" s="12">
        <f>tb_Auditoria[[#This Row],[% TAXA RELATÓRIO]]*tb_Auditoria[[#This Row],[VALOR CRÉDITO]]</f>
        <v>600</v>
      </c>
      <c r="E1119" s="13">
        <v>46038</v>
      </c>
      <c r="F1119" s="13" t="s">
        <v>18</v>
      </c>
      <c r="G111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1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1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19" s="19">
        <f>IFERROR(INDEX([1]!tb_Vendas[Crédito],MATCH(tb_Auditoria[[#This Row],[Nº CONTRATO]],[1]!tb_Vendas[Nº Contrato],0)),0)</f>
        <v>400000</v>
      </c>
      <c r="K1119" s="21">
        <f>IFERROR(tb_Auditoria[[#This Row],[VALOR ESPERADO]] / tb_Auditoria[[#This Row],[VALOR CRÉDITO]], 0)</f>
        <v>0</v>
      </c>
      <c r="L1119" s="19" t="e">
        <f>SUMIFS([1]!Motor_Comissão[Valor Previsto],[1]!Motor_Comissão[Chave], tb_Auditoria[[#This Row],[Nº CONTRATO]]&amp;"-"&amp;tb_Auditoria[[#This Row],[PARCELA ATUAL]])</f>
        <v>#REF!</v>
      </c>
      <c r="M1119" s="19" t="e">
        <f>tb_Auditoria[[#This Row],[VALOR PAGO]] - tb_Auditoria[[#This Row],[VALOR ESPERADO]]</f>
        <v>#REF!</v>
      </c>
      <c r="N11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0" spans="1:15">
      <c r="A1120" s="9">
        <v>1156190</v>
      </c>
      <c r="B1120" s="10">
        <v>3</v>
      </c>
      <c r="C1120" s="40">
        <v>1.5E-3</v>
      </c>
      <c r="D1120" s="12">
        <f>tb_Auditoria[[#This Row],[% TAXA RELATÓRIO]]*tb_Auditoria[[#This Row],[VALOR CRÉDITO]]</f>
        <v>600</v>
      </c>
      <c r="E1120" s="13">
        <v>46072</v>
      </c>
      <c r="F1120" s="13" t="s">
        <v>18</v>
      </c>
      <c r="G112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2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20" s="19">
        <f>IFERROR(INDEX([1]!tb_Vendas[Crédito],MATCH(tb_Auditoria[[#This Row],[Nº CONTRATO]],[1]!tb_Vendas[Nº Contrato],0)),0)</f>
        <v>400000</v>
      </c>
      <c r="K1120" s="21">
        <f>IFERROR(tb_Auditoria[[#This Row],[VALOR ESPERADO]] / tb_Auditoria[[#This Row],[VALOR CRÉDITO]], 0)</f>
        <v>0</v>
      </c>
      <c r="L1120" s="19" t="e">
        <f>SUMIFS([1]!Motor_Comissão[Valor Previsto],[1]!Motor_Comissão[Chave], tb_Auditoria[[#This Row],[Nº CONTRATO]]&amp;"-"&amp;tb_Auditoria[[#This Row],[PARCELA ATUAL]])</f>
        <v>#REF!</v>
      </c>
      <c r="M1120" s="19" t="e">
        <f>tb_Auditoria[[#This Row],[VALOR PAGO]] - tb_Auditoria[[#This Row],[VALOR ESPERADO]]</f>
        <v>#REF!</v>
      </c>
      <c r="N11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1" spans="1:15">
      <c r="A1121" s="9">
        <v>1156190</v>
      </c>
      <c r="B1121" s="10">
        <v>4</v>
      </c>
      <c r="C1121" s="40">
        <v>1.5E-3</v>
      </c>
      <c r="D1121" s="12">
        <f>tb_Auditoria[[#This Row],[% TAXA RELATÓRIO]]*tb_Auditoria[[#This Row],[VALOR CRÉDITO]]</f>
        <v>600</v>
      </c>
      <c r="E1121" s="13">
        <v>46100</v>
      </c>
      <c r="F1121" s="13" t="s">
        <v>18</v>
      </c>
      <c r="G112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2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21" s="19">
        <f>IFERROR(INDEX([1]!tb_Vendas[Crédito],MATCH(tb_Auditoria[[#This Row],[Nº CONTRATO]],[1]!tb_Vendas[Nº Contrato],0)),0)</f>
        <v>400000</v>
      </c>
      <c r="K1121" s="21">
        <f>IFERROR(tb_Auditoria[[#This Row],[VALOR ESPERADO]] / tb_Auditoria[[#This Row],[VALOR CRÉDITO]], 0)</f>
        <v>0</v>
      </c>
      <c r="L1121" s="19" t="e">
        <f>SUMIFS([1]!Motor_Comissão[Valor Previsto],[1]!Motor_Comissão[Chave], tb_Auditoria[[#This Row],[Nº CONTRATO]]&amp;"-"&amp;tb_Auditoria[[#This Row],[PARCELA ATUAL]])</f>
        <v>#REF!</v>
      </c>
      <c r="M1121" s="19" t="e">
        <f>tb_Auditoria[[#This Row],[VALOR PAGO]] - tb_Auditoria[[#This Row],[VALOR ESPERADO]]</f>
        <v>#REF!</v>
      </c>
      <c r="N11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2" spans="1:15">
      <c r="A1122" s="9">
        <v>1156190</v>
      </c>
      <c r="B1122" s="10">
        <v>5</v>
      </c>
      <c r="C1122" s="37">
        <v>1.5E-3</v>
      </c>
      <c r="D1122" s="12">
        <f>tb_Auditoria[[#This Row],[% TAXA RELATÓRIO]]*tb_Auditoria[[#This Row],[VALOR CRÉDITO]]</f>
        <v>600</v>
      </c>
      <c r="E1122" s="13">
        <v>46129</v>
      </c>
      <c r="F1122" s="13" t="s">
        <v>18</v>
      </c>
      <c r="G112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2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22" s="19">
        <f>IFERROR(INDEX([1]!tb_Vendas[Crédito],MATCH(tb_Auditoria[[#This Row],[Nº CONTRATO]],[1]!tb_Vendas[Nº Contrato],0)),0)</f>
        <v>400000</v>
      </c>
      <c r="K1122" s="21">
        <f>IFERROR(tb_Auditoria[[#This Row],[VALOR ESPERADO]] / tb_Auditoria[[#This Row],[VALOR CRÉDITO]], 0)</f>
        <v>0</v>
      </c>
      <c r="L1122" s="19" t="e">
        <f>SUMIFS([1]!Motor_Comissão[Valor Previsto],[1]!Motor_Comissão[Chave], tb_Auditoria[[#This Row],[Nº CONTRATO]]&amp;"-"&amp;tb_Auditoria[[#This Row],[PARCELA ATUAL]])</f>
        <v>#REF!</v>
      </c>
      <c r="M1122" s="19" t="e">
        <f>tb_Auditoria[[#This Row],[VALOR PAGO]] - tb_Auditoria[[#This Row],[VALOR ESPERADO]]</f>
        <v>#REF!</v>
      </c>
      <c r="N11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3" spans="1:15">
      <c r="A1123" s="9">
        <v>1156190</v>
      </c>
      <c r="B1123" s="10">
        <v>6</v>
      </c>
      <c r="C1123" s="37">
        <v>1.5E-3</v>
      </c>
      <c r="D1123" s="12">
        <f>tb_Auditoria[[#This Row],[% TAXA RELATÓRIO]]*tb_Auditoria[[#This Row],[VALOR CRÉDITO]]</f>
        <v>600</v>
      </c>
      <c r="E1123" s="13">
        <v>46161</v>
      </c>
      <c r="F1123" s="13" t="s">
        <v>18</v>
      </c>
      <c r="G112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2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23" s="19">
        <f>IFERROR(INDEX([1]!tb_Vendas[Crédito],MATCH(tb_Auditoria[[#This Row],[Nº CONTRATO]],[1]!tb_Vendas[Nº Contrato],0)),0)</f>
        <v>400000</v>
      </c>
      <c r="K1123" s="21">
        <f>IFERROR(tb_Auditoria[[#This Row],[VALOR ESPERADO]] / tb_Auditoria[[#This Row],[VALOR CRÉDITO]], 0)</f>
        <v>0</v>
      </c>
      <c r="L1123" s="19" t="e">
        <f>SUMIFS([1]!Motor_Comissão[Valor Previsto],[1]!Motor_Comissão[Chave], tb_Auditoria[[#This Row],[Nº CONTRATO]]&amp;"-"&amp;tb_Auditoria[[#This Row],[PARCELA ATUAL]])</f>
        <v>#REF!</v>
      </c>
      <c r="M1123" s="19" t="e">
        <f>tb_Auditoria[[#This Row],[VALOR PAGO]] - tb_Auditoria[[#This Row],[VALOR ESPERADO]]</f>
        <v>#REF!</v>
      </c>
      <c r="N11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4" spans="1:15">
      <c r="A1124" s="9">
        <v>1156191</v>
      </c>
      <c r="B1124" s="10">
        <v>1</v>
      </c>
      <c r="C1124" s="37">
        <v>1.5E-3</v>
      </c>
      <c r="D1124" s="12">
        <f>tb_Auditoria[[#This Row],[% TAXA RELATÓRIO]]*tb_Auditoria[[#This Row],[VALOR CRÉDITO]]</f>
        <v>450</v>
      </c>
      <c r="E1124" s="13">
        <v>46008</v>
      </c>
      <c r="F1124" s="13" t="s">
        <v>18</v>
      </c>
      <c r="G112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2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24" s="19">
        <f>IFERROR(INDEX([1]!tb_Vendas[Crédito],MATCH(tb_Auditoria[[#This Row],[Nº CONTRATO]],[1]!tb_Vendas[Nº Contrato],0)),0)</f>
        <v>300000</v>
      </c>
      <c r="K1124" s="21">
        <f>IFERROR(tb_Auditoria[[#This Row],[VALOR ESPERADO]] / tb_Auditoria[[#This Row],[VALOR CRÉDITO]], 0)</f>
        <v>0</v>
      </c>
      <c r="L1124" s="19" t="e">
        <f>SUMIFS([1]!Motor_Comissão[Valor Previsto],[1]!Motor_Comissão[Chave], tb_Auditoria[[#This Row],[Nº CONTRATO]]&amp;"-"&amp;tb_Auditoria[[#This Row],[PARCELA ATUAL]])</f>
        <v>#REF!</v>
      </c>
      <c r="M1124" s="19" t="e">
        <f>tb_Auditoria[[#This Row],[VALOR PAGO]] - tb_Auditoria[[#This Row],[VALOR ESPERADO]]</f>
        <v>#REF!</v>
      </c>
      <c r="N11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5" spans="1:15">
      <c r="A1125" s="9">
        <v>1156191</v>
      </c>
      <c r="B1125" s="10">
        <v>2</v>
      </c>
      <c r="C1125" s="37">
        <v>1.5E-3</v>
      </c>
      <c r="D1125" s="12">
        <f>tb_Auditoria[[#This Row],[% TAXA RELATÓRIO]]*tb_Auditoria[[#This Row],[VALOR CRÉDITO]]</f>
        <v>450</v>
      </c>
      <c r="E1125" s="13">
        <v>46038</v>
      </c>
      <c r="F1125" s="13" t="s">
        <v>18</v>
      </c>
      <c r="G112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2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25" s="19">
        <f>IFERROR(INDEX([1]!tb_Vendas[Crédito],MATCH(tb_Auditoria[[#This Row],[Nº CONTRATO]],[1]!tb_Vendas[Nº Contrato],0)),0)</f>
        <v>300000</v>
      </c>
      <c r="K1125" s="21">
        <f>IFERROR(tb_Auditoria[[#This Row],[VALOR ESPERADO]] / tb_Auditoria[[#This Row],[VALOR CRÉDITO]], 0)</f>
        <v>0</v>
      </c>
      <c r="L1125" s="19" t="e">
        <f>SUMIFS([1]!Motor_Comissão[Valor Previsto],[1]!Motor_Comissão[Chave], tb_Auditoria[[#This Row],[Nº CONTRATO]]&amp;"-"&amp;tb_Auditoria[[#This Row],[PARCELA ATUAL]])</f>
        <v>#REF!</v>
      </c>
      <c r="M1125" s="19" t="e">
        <f>tb_Auditoria[[#This Row],[VALOR PAGO]] - tb_Auditoria[[#This Row],[VALOR ESPERADO]]</f>
        <v>#REF!</v>
      </c>
      <c r="N11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6" spans="1:15">
      <c r="A1126" s="9">
        <v>1156191</v>
      </c>
      <c r="B1126" s="10">
        <v>3</v>
      </c>
      <c r="C1126" s="37">
        <v>1.5E-3</v>
      </c>
      <c r="D1126" s="12">
        <f>tb_Auditoria[[#This Row],[% TAXA RELATÓRIO]]*tb_Auditoria[[#This Row],[VALOR CRÉDITO]]</f>
        <v>450</v>
      </c>
      <c r="E1126" s="13">
        <v>46072</v>
      </c>
      <c r="F1126" s="13" t="s">
        <v>18</v>
      </c>
      <c r="G112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2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26" s="19">
        <f>IFERROR(INDEX([1]!tb_Vendas[Crédito],MATCH(tb_Auditoria[[#This Row],[Nº CONTRATO]],[1]!tb_Vendas[Nº Contrato],0)),0)</f>
        <v>300000</v>
      </c>
      <c r="K1126" s="21">
        <f>IFERROR(tb_Auditoria[[#This Row],[VALOR ESPERADO]] / tb_Auditoria[[#This Row],[VALOR CRÉDITO]], 0)</f>
        <v>0</v>
      </c>
      <c r="L1126" s="19" t="e">
        <f>SUMIFS([1]!Motor_Comissão[Valor Previsto],[1]!Motor_Comissão[Chave], tb_Auditoria[[#This Row],[Nº CONTRATO]]&amp;"-"&amp;tb_Auditoria[[#This Row],[PARCELA ATUAL]])</f>
        <v>#REF!</v>
      </c>
      <c r="M1126" s="19" t="e">
        <f>tb_Auditoria[[#This Row],[VALOR PAGO]] - tb_Auditoria[[#This Row],[VALOR ESPERADO]]</f>
        <v>#REF!</v>
      </c>
      <c r="N11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7" spans="1:15">
      <c r="A1127" s="9">
        <v>1156191</v>
      </c>
      <c r="B1127" s="10">
        <v>4</v>
      </c>
      <c r="C1127" s="37">
        <v>1.5E-3</v>
      </c>
      <c r="D1127" s="12">
        <f>tb_Auditoria[[#This Row],[% TAXA RELATÓRIO]]*tb_Auditoria[[#This Row],[VALOR CRÉDITO]]</f>
        <v>450</v>
      </c>
      <c r="E1127" s="13">
        <v>46100</v>
      </c>
      <c r="F1127" s="13" t="s">
        <v>18</v>
      </c>
      <c r="G112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2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27" s="19">
        <f>IFERROR(INDEX([1]!tb_Vendas[Crédito],MATCH(tb_Auditoria[[#This Row],[Nº CONTRATO]],[1]!tb_Vendas[Nº Contrato],0)),0)</f>
        <v>300000</v>
      </c>
      <c r="K1127" s="21">
        <f>IFERROR(tb_Auditoria[[#This Row],[VALOR ESPERADO]] / tb_Auditoria[[#This Row],[VALOR CRÉDITO]], 0)</f>
        <v>0</v>
      </c>
      <c r="L1127" s="19" t="e">
        <f>SUMIFS([1]!Motor_Comissão[Valor Previsto],[1]!Motor_Comissão[Chave], tb_Auditoria[[#This Row],[Nº CONTRATO]]&amp;"-"&amp;tb_Auditoria[[#This Row],[PARCELA ATUAL]])</f>
        <v>#REF!</v>
      </c>
      <c r="M1127" s="19" t="e">
        <f>tb_Auditoria[[#This Row],[VALOR PAGO]] - tb_Auditoria[[#This Row],[VALOR ESPERADO]]</f>
        <v>#REF!</v>
      </c>
      <c r="N11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8" spans="1:15">
      <c r="A1128" s="9">
        <v>1156191</v>
      </c>
      <c r="B1128" s="10">
        <v>5</v>
      </c>
      <c r="C1128" s="37">
        <v>1.5E-3</v>
      </c>
      <c r="D1128" s="12">
        <f>tb_Auditoria[[#This Row],[% TAXA RELATÓRIO]]*tb_Auditoria[[#This Row],[VALOR CRÉDITO]]</f>
        <v>450</v>
      </c>
      <c r="E1128" s="13">
        <v>46129</v>
      </c>
      <c r="F1128" s="13" t="s">
        <v>18</v>
      </c>
      <c r="G112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2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28" s="19">
        <f>IFERROR(INDEX([1]!tb_Vendas[Crédito],MATCH(tb_Auditoria[[#This Row],[Nº CONTRATO]],[1]!tb_Vendas[Nº Contrato],0)),0)</f>
        <v>300000</v>
      </c>
      <c r="K1128" s="21">
        <f>IFERROR(tb_Auditoria[[#This Row],[VALOR ESPERADO]] / tb_Auditoria[[#This Row],[VALOR CRÉDITO]], 0)</f>
        <v>0</v>
      </c>
      <c r="L1128" s="19" t="e">
        <f>SUMIFS([1]!Motor_Comissão[Valor Previsto],[1]!Motor_Comissão[Chave], tb_Auditoria[[#This Row],[Nº CONTRATO]]&amp;"-"&amp;tb_Auditoria[[#This Row],[PARCELA ATUAL]])</f>
        <v>#REF!</v>
      </c>
      <c r="M1128" s="19" t="e">
        <f>tb_Auditoria[[#This Row],[VALOR PAGO]] - tb_Auditoria[[#This Row],[VALOR ESPERADO]]</f>
        <v>#REF!</v>
      </c>
      <c r="N11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29" spans="1:15">
      <c r="A1129" s="9">
        <v>1156191</v>
      </c>
      <c r="B1129" s="10">
        <v>6</v>
      </c>
      <c r="C1129" s="37">
        <v>1.5E-3</v>
      </c>
      <c r="D1129" s="12">
        <f>tb_Auditoria[[#This Row],[% TAXA RELATÓRIO]]*tb_Auditoria[[#This Row],[VALOR CRÉDITO]]</f>
        <v>450</v>
      </c>
      <c r="E1129" s="13">
        <v>46161</v>
      </c>
      <c r="F1129" s="13" t="s">
        <v>18</v>
      </c>
      <c r="G112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2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2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29" s="19">
        <f>IFERROR(INDEX([1]!tb_Vendas[Crédito],MATCH(tb_Auditoria[[#This Row],[Nº CONTRATO]],[1]!tb_Vendas[Nº Contrato],0)),0)</f>
        <v>300000</v>
      </c>
      <c r="K1129" s="21">
        <f>IFERROR(tb_Auditoria[[#This Row],[VALOR ESPERADO]] / tb_Auditoria[[#This Row],[VALOR CRÉDITO]], 0)</f>
        <v>0</v>
      </c>
      <c r="L1129" s="19" t="e">
        <f>SUMIFS([1]!Motor_Comissão[Valor Previsto],[1]!Motor_Comissão[Chave], tb_Auditoria[[#This Row],[Nº CONTRATO]]&amp;"-"&amp;tb_Auditoria[[#This Row],[PARCELA ATUAL]])</f>
        <v>#REF!</v>
      </c>
      <c r="M1129" s="19" t="e">
        <f>tb_Auditoria[[#This Row],[VALOR PAGO]] - tb_Auditoria[[#This Row],[VALOR ESPERADO]]</f>
        <v>#REF!</v>
      </c>
      <c r="N11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0" spans="1:15">
      <c r="A1130" s="9">
        <v>1156192</v>
      </c>
      <c r="B1130" s="10">
        <v>1</v>
      </c>
      <c r="C1130" s="37">
        <v>1.5E-3</v>
      </c>
      <c r="D1130" s="12">
        <f>tb_Auditoria[[#This Row],[% TAXA RELATÓRIO]]*tb_Auditoria[[#This Row],[VALOR CRÉDITO]]</f>
        <v>450</v>
      </c>
      <c r="E1130" s="13">
        <v>46008</v>
      </c>
      <c r="F1130" s="13" t="s">
        <v>18</v>
      </c>
      <c r="G113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3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30" s="19">
        <f>IFERROR(INDEX([1]!tb_Vendas[Crédito],MATCH(tb_Auditoria[[#This Row],[Nº CONTRATO]],[1]!tb_Vendas[Nº Contrato],0)),0)</f>
        <v>300000</v>
      </c>
      <c r="K1130" s="21">
        <f>IFERROR(tb_Auditoria[[#This Row],[VALOR ESPERADO]] / tb_Auditoria[[#This Row],[VALOR CRÉDITO]], 0)</f>
        <v>0</v>
      </c>
      <c r="L1130" s="19" t="e">
        <f>SUMIFS([1]!Motor_Comissão[Valor Previsto],[1]!Motor_Comissão[Chave], tb_Auditoria[[#This Row],[Nº CONTRATO]]&amp;"-"&amp;tb_Auditoria[[#This Row],[PARCELA ATUAL]])</f>
        <v>#REF!</v>
      </c>
      <c r="M1130" s="19" t="e">
        <f>tb_Auditoria[[#This Row],[VALOR PAGO]] - tb_Auditoria[[#This Row],[VALOR ESPERADO]]</f>
        <v>#REF!</v>
      </c>
      <c r="N11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1" spans="1:15">
      <c r="A1131" s="9">
        <v>1156192</v>
      </c>
      <c r="B1131" s="10">
        <v>2</v>
      </c>
      <c r="C1131" s="40">
        <v>1.5E-3</v>
      </c>
      <c r="D1131" s="12">
        <f>tb_Auditoria[[#This Row],[% TAXA RELATÓRIO]]*tb_Auditoria[[#This Row],[VALOR CRÉDITO]]</f>
        <v>450</v>
      </c>
      <c r="E1131" s="13">
        <v>46038</v>
      </c>
      <c r="F1131" s="13" t="s">
        <v>18</v>
      </c>
      <c r="G113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3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31" s="19">
        <f>IFERROR(INDEX([1]!tb_Vendas[Crédito],MATCH(tb_Auditoria[[#This Row],[Nº CONTRATO]],[1]!tb_Vendas[Nº Contrato],0)),0)</f>
        <v>300000</v>
      </c>
      <c r="K1131" s="21">
        <f>IFERROR(tb_Auditoria[[#This Row],[VALOR ESPERADO]] / tb_Auditoria[[#This Row],[VALOR CRÉDITO]], 0)</f>
        <v>0</v>
      </c>
      <c r="L1131" s="19" t="e">
        <f>SUMIFS([1]!Motor_Comissão[Valor Previsto],[1]!Motor_Comissão[Chave], tb_Auditoria[[#This Row],[Nº CONTRATO]]&amp;"-"&amp;tb_Auditoria[[#This Row],[PARCELA ATUAL]])</f>
        <v>#REF!</v>
      </c>
      <c r="M1131" s="19" t="e">
        <f>tb_Auditoria[[#This Row],[VALOR PAGO]] - tb_Auditoria[[#This Row],[VALOR ESPERADO]]</f>
        <v>#REF!</v>
      </c>
      <c r="N11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2" spans="1:15">
      <c r="A1132" s="9">
        <v>1156192</v>
      </c>
      <c r="B1132" s="10">
        <v>3</v>
      </c>
      <c r="C1132" s="37">
        <v>1.5E-3</v>
      </c>
      <c r="D1132" s="12">
        <f>tb_Auditoria[[#This Row],[% TAXA RELATÓRIO]]*tb_Auditoria[[#This Row],[VALOR CRÉDITO]]</f>
        <v>450</v>
      </c>
      <c r="E1132" s="13">
        <v>46072</v>
      </c>
      <c r="F1132" s="13" t="s">
        <v>18</v>
      </c>
      <c r="G113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3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32" s="19">
        <f>IFERROR(INDEX([1]!tb_Vendas[Crédito],MATCH(tb_Auditoria[[#This Row],[Nº CONTRATO]],[1]!tb_Vendas[Nº Contrato],0)),0)</f>
        <v>300000</v>
      </c>
      <c r="K1132" s="21">
        <f>IFERROR(tb_Auditoria[[#This Row],[VALOR ESPERADO]] / tb_Auditoria[[#This Row],[VALOR CRÉDITO]], 0)</f>
        <v>0</v>
      </c>
      <c r="L1132" s="19" t="e">
        <f>SUMIFS([1]!Motor_Comissão[Valor Previsto],[1]!Motor_Comissão[Chave], tb_Auditoria[[#This Row],[Nº CONTRATO]]&amp;"-"&amp;tb_Auditoria[[#This Row],[PARCELA ATUAL]])</f>
        <v>#REF!</v>
      </c>
      <c r="M1132" s="19" t="e">
        <f>tb_Auditoria[[#This Row],[VALOR PAGO]] - tb_Auditoria[[#This Row],[VALOR ESPERADO]]</f>
        <v>#REF!</v>
      </c>
      <c r="N11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3" spans="1:15">
      <c r="A1133" s="9">
        <v>1156192</v>
      </c>
      <c r="B1133" s="10">
        <v>4</v>
      </c>
      <c r="C1133" s="37">
        <v>1.5E-3</v>
      </c>
      <c r="D1133" s="12">
        <f>tb_Auditoria[[#This Row],[% TAXA RELATÓRIO]]*tb_Auditoria[[#This Row],[VALOR CRÉDITO]]</f>
        <v>450</v>
      </c>
      <c r="E1133" s="13">
        <v>46100</v>
      </c>
      <c r="F1133" s="13" t="s">
        <v>18</v>
      </c>
      <c r="G113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3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33" s="19">
        <f>IFERROR(INDEX([1]!tb_Vendas[Crédito],MATCH(tb_Auditoria[[#This Row],[Nº CONTRATO]],[1]!tb_Vendas[Nº Contrato],0)),0)</f>
        <v>300000</v>
      </c>
      <c r="K1133" s="21">
        <f>IFERROR(tb_Auditoria[[#This Row],[VALOR ESPERADO]] / tb_Auditoria[[#This Row],[VALOR CRÉDITO]], 0)</f>
        <v>0</v>
      </c>
      <c r="L1133" s="19" t="e">
        <f>SUMIFS([1]!Motor_Comissão[Valor Previsto],[1]!Motor_Comissão[Chave], tb_Auditoria[[#This Row],[Nº CONTRATO]]&amp;"-"&amp;tb_Auditoria[[#This Row],[PARCELA ATUAL]])</f>
        <v>#REF!</v>
      </c>
      <c r="M1133" s="19" t="e">
        <f>tb_Auditoria[[#This Row],[VALOR PAGO]] - tb_Auditoria[[#This Row],[VALOR ESPERADO]]</f>
        <v>#REF!</v>
      </c>
      <c r="N11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4" spans="1:15">
      <c r="A1134" s="9">
        <v>1156192</v>
      </c>
      <c r="B1134" s="10">
        <v>5</v>
      </c>
      <c r="C1134" s="37">
        <v>1.5E-3</v>
      </c>
      <c r="D1134" s="12">
        <f>tb_Auditoria[[#This Row],[% TAXA RELATÓRIO]]*tb_Auditoria[[#This Row],[VALOR CRÉDITO]]</f>
        <v>450</v>
      </c>
      <c r="E1134" s="13">
        <v>46129</v>
      </c>
      <c r="F1134" s="13" t="s">
        <v>18</v>
      </c>
      <c r="G113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3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34" s="19">
        <f>IFERROR(INDEX([1]!tb_Vendas[Crédito],MATCH(tb_Auditoria[[#This Row],[Nº CONTRATO]],[1]!tb_Vendas[Nº Contrato],0)),0)</f>
        <v>300000</v>
      </c>
      <c r="K1134" s="21">
        <f>IFERROR(tb_Auditoria[[#This Row],[VALOR ESPERADO]] / tb_Auditoria[[#This Row],[VALOR CRÉDITO]], 0)</f>
        <v>0</v>
      </c>
      <c r="L1134" s="19" t="e">
        <f>SUMIFS([1]!Motor_Comissão[Valor Previsto],[1]!Motor_Comissão[Chave], tb_Auditoria[[#This Row],[Nº CONTRATO]]&amp;"-"&amp;tb_Auditoria[[#This Row],[PARCELA ATUAL]])</f>
        <v>#REF!</v>
      </c>
      <c r="M1134" s="19" t="e">
        <f>tb_Auditoria[[#This Row],[VALOR PAGO]] - tb_Auditoria[[#This Row],[VALOR ESPERADO]]</f>
        <v>#REF!</v>
      </c>
      <c r="N113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5" spans="1:15">
      <c r="A1135" s="9">
        <v>1156192</v>
      </c>
      <c r="B1135" s="10">
        <v>6</v>
      </c>
      <c r="C1135" s="37">
        <v>1.5E-3</v>
      </c>
      <c r="D1135" s="12">
        <f>tb_Auditoria[[#This Row],[% TAXA RELATÓRIO]]*tb_Auditoria[[#This Row],[VALOR CRÉDITO]]</f>
        <v>450</v>
      </c>
      <c r="E1135" s="13">
        <v>46161</v>
      </c>
      <c r="F1135" s="13" t="s">
        <v>18</v>
      </c>
      <c r="G113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FPG EMPREENDIMENTOS LTDA</v>
      </c>
      <c r="I113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135" s="19">
        <f>IFERROR(INDEX([1]!tb_Vendas[Crédito],MATCH(tb_Auditoria[[#This Row],[Nº CONTRATO]],[1]!tb_Vendas[Nº Contrato],0)),0)</f>
        <v>300000</v>
      </c>
      <c r="K1135" s="21">
        <f>IFERROR(tb_Auditoria[[#This Row],[VALOR ESPERADO]] / tb_Auditoria[[#This Row],[VALOR CRÉDITO]], 0)</f>
        <v>0</v>
      </c>
      <c r="L1135" s="19" t="e">
        <f>SUMIFS([1]!Motor_Comissão[Valor Previsto],[1]!Motor_Comissão[Chave], tb_Auditoria[[#This Row],[Nº CONTRATO]]&amp;"-"&amp;tb_Auditoria[[#This Row],[PARCELA ATUAL]])</f>
        <v>#REF!</v>
      </c>
      <c r="M1135" s="19" t="e">
        <f>tb_Auditoria[[#This Row],[VALOR PAGO]] - tb_Auditoria[[#This Row],[VALOR ESPERADO]]</f>
        <v>#REF!</v>
      </c>
      <c r="N11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6" spans="1:15">
      <c r="A1136" s="9">
        <v>1156232</v>
      </c>
      <c r="B1136" s="10">
        <v>1</v>
      </c>
      <c r="C1136" s="37">
        <v>4.4799999999999996E-3</v>
      </c>
      <c r="D1136" s="12">
        <f>tb_Auditoria[[#This Row],[% TAXA RELATÓRIO]]*tb_Auditoria[[#This Row],[VALOR CRÉDITO]]</f>
        <v>1366.5154496</v>
      </c>
      <c r="E1136" s="13">
        <v>46008</v>
      </c>
      <c r="F1136" s="13" t="s">
        <v>18</v>
      </c>
      <c r="G113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3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36" s="19">
        <f>IFERROR(INDEX([1]!tb_Vendas[Crédito],MATCH(tb_Auditoria[[#This Row],[Nº CONTRATO]],[1]!tb_Vendas[Nº Contrato],0)),0)</f>
        <v>305025.77</v>
      </c>
      <c r="K1136" s="21">
        <f>IFERROR(tb_Auditoria[[#This Row],[VALOR ESPERADO]] / tb_Auditoria[[#This Row],[VALOR CRÉDITO]], 0)</f>
        <v>0</v>
      </c>
      <c r="L1136" s="19" t="e">
        <f>SUMIFS([1]!Motor_Comissão[Valor Previsto],[1]!Motor_Comissão[Chave], tb_Auditoria[[#This Row],[Nº CONTRATO]]&amp;"-"&amp;tb_Auditoria[[#This Row],[PARCELA ATUAL]])</f>
        <v>#REF!</v>
      </c>
      <c r="M1136" s="19" t="e">
        <f>tb_Auditoria[[#This Row],[VALOR PAGO]] - tb_Auditoria[[#This Row],[VALOR ESPERADO]]</f>
        <v>#REF!</v>
      </c>
      <c r="N11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7" spans="1:15">
      <c r="A1137" s="9">
        <v>1156232</v>
      </c>
      <c r="B1137" s="10">
        <v>2</v>
      </c>
      <c r="C1137" s="37">
        <v>4.4799999999999996E-3</v>
      </c>
      <c r="D1137" s="12">
        <f>tb_Auditoria[[#This Row],[% TAXA RELATÓRIO]]*tb_Auditoria[[#This Row],[VALOR CRÉDITO]]</f>
        <v>1366.5154496</v>
      </c>
      <c r="E1137" s="13">
        <v>46038</v>
      </c>
      <c r="F1137" s="13" t="s">
        <v>18</v>
      </c>
      <c r="G113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3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37" s="19">
        <f>IFERROR(INDEX([1]!tb_Vendas[Crédito],MATCH(tb_Auditoria[[#This Row],[Nº CONTRATO]],[1]!tb_Vendas[Nº Contrato],0)),0)</f>
        <v>305025.77</v>
      </c>
      <c r="K1137" s="21">
        <f>IFERROR(tb_Auditoria[[#This Row],[VALOR ESPERADO]] / tb_Auditoria[[#This Row],[VALOR CRÉDITO]], 0)</f>
        <v>0</v>
      </c>
      <c r="L1137" s="19" t="e">
        <f>SUMIFS([1]!Motor_Comissão[Valor Previsto],[1]!Motor_Comissão[Chave], tb_Auditoria[[#This Row],[Nº CONTRATO]]&amp;"-"&amp;tb_Auditoria[[#This Row],[PARCELA ATUAL]])</f>
        <v>#REF!</v>
      </c>
      <c r="M1137" s="19" t="e">
        <f>tb_Auditoria[[#This Row],[VALOR PAGO]] - tb_Auditoria[[#This Row],[VALOR ESPERADO]]</f>
        <v>#REF!</v>
      </c>
      <c r="N11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8" spans="1:15">
      <c r="A1138" s="9">
        <v>1156232</v>
      </c>
      <c r="B1138" s="10">
        <v>3</v>
      </c>
      <c r="C1138" s="37">
        <v>4.4799999999999996E-3</v>
      </c>
      <c r="D1138" s="12">
        <f>tb_Auditoria[[#This Row],[% TAXA RELATÓRIO]]*tb_Auditoria[[#This Row],[VALOR CRÉDITO]]</f>
        <v>1366.5154496</v>
      </c>
      <c r="E1138" s="13">
        <v>46072</v>
      </c>
      <c r="F1138" s="13" t="s">
        <v>18</v>
      </c>
      <c r="G113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3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38" s="19">
        <f>IFERROR(INDEX([1]!tb_Vendas[Crédito],MATCH(tb_Auditoria[[#This Row],[Nº CONTRATO]],[1]!tb_Vendas[Nº Contrato],0)),0)</f>
        <v>305025.77</v>
      </c>
      <c r="K1138" s="21">
        <f>IFERROR(tb_Auditoria[[#This Row],[VALOR ESPERADO]] / tb_Auditoria[[#This Row],[VALOR CRÉDITO]], 0)</f>
        <v>0</v>
      </c>
      <c r="L1138" s="19" t="e">
        <f>SUMIFS([1]!Motor_Comissão[Valor Previsto],[1]!Motor_Comissão[Chave], tb_Auditoria[[#This Row],[Nº CONTRATO]]&amp;"-"&amp;tb_Auditoria[[#This Row],[PARCELA ATUAL]])</f>
        <v>#REF!</v>
      </c>
      <c r="M1138" s="19" t="e">
        <f>tb_Auditoria[[#This Row],[VALOR PAGO]] - tb_Auditoria[[#This Row],[VALOR ESPERADO]]</f>
        <v>#REF!</v>
      </c>
      <c r="N11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39" spans="1:15">
      <c r="A1139" s="9">
        <v>1156232</v>
      </c>
      <c r="B1139" s="10">
        <v>4</v>
      </c>
      <c r="C1139" s="37">
        <v>4.4799999999999996E-3</v>
      </c>
      <c r="D1139" s="12">
        <f>tb_Auditoria[[#This Row],[% TAXA RELATÓRIO]]*tb_Auditoria[[#This Row],[VALOR CRÉDITO]]</f>
        <v>1366.5154496</v>
      </c>
      <c r="E1139" s="13">
        <v>46100</v>
      </c>
      <c r="F1139" s="13" t="s">
        <v>18</v>
      </c>
      <c r="G113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3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3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39" s="19">
        <f>IFERROR(INDEX([1]!tb_Vendas[Crédito],MATCH(tb_Auditoria[[#This Row],[Nº CONTRATO]],[1]!tb_Vendas[Nº Contrato],0)),0)</f>
        <v>305025.77</v>
      </c>
      <c r="K1139" s="21">
        <f>IFERROR(tb_Auditoria[[#This Row],[VALOR ESPERADO]] / tb_Auditoria[[#This Row],[VALOR CRÉDITO]], 0)</f>
        <v>0</v>
      </c>
      <c r="L1139" s="19" t="e">
        <f>SUMIFS([1]!Motor_Comissão[Valor Previsto],[1]!Motor_Comissão[Chave], tb_Auditoria[[#This Row],[Nº CONTRATO]]&amp;"-"&amp;tb_Auditoria[[#This Row],[PARCELA ATUAL]])</f>
        <v>#REF!</v>
      </c>
      <c r="M1139" s="19" t="e">
        <f>tb_Auditoria[[#This Row],[VALOR PAGO]] - tb_Auditoria[[#This Row],[VALOR ESPERADO]]</f>
        <v>#REF!</v>
      </c>
      <c r="N11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0" spans="1:15">
      <c r="A1140" s="9">
        <v>1156232</v>
      </c>
      <c r="B1140" s="10">
        <v>5</v>
      </c>
      <c r="C1140" s="37">
        <v>4.4799999999999996E-3</v>
      </c>
      <c r="D1140" s="12">
        <f>tb_Auditoria[[#This Row],[% TAXA RELATÓRIO]]*tb_Auditoria[[#This Row],[VALOR CRÉDITO]]</f>
        <v>1366.5154496</v>
      </c>
      <c r="E1140" s="13">
        <v>46129</v>
      </c>
      <c r="F1140" s="13" t="s">
        <v>18</v>
      </c>
      <c r="G114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4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40" s="19">
        <f>IFERROR(INDEX([1]!tb_Vendas[Crédito],MATCH(tb_Auditoria[[#This Row],[Nº CONTRATO]],[1]!tb_Vendas[Nº Contrato],0)),0)</f>
        <v>305025.77</v>
      </c>
      <c r="K1140" s="21">
        <f>IFERROR(tb_Auditoria[[#This Row],[VALOR ESPERADO]] / tb_Auditoria[[#This Row],[VALOR CRÉDITO]], 0)</f>
        <v>0</v>
      </c>
      <c r="L1140" s="19" t="e">
        <f>SUMIFS([1]!Motor_Comissão[Valor Previsto],[1]!Motor_Comissão[Chave], tb_Auditoria[[#This Row],[Nº CONTRATO]]&amp;"-"&amp;tb_Auditoria[[#This Row],[PARCELA ATUAL]])</f>
        <v>#REF!</v>
      </c>
      <c r="M1140" s="19" t="e">
        <f>tb_Auditoria[[#This Row],[VALOR PAGO]] - tb_Auditoria[[#This Row],[VALOR ESPERADO]]</f>
        <v>#REF!</v>
      </c>
      <c r="N11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1" spans="1:15">
      <c r="A1141" s="9">
        <v>1156232</v>
      </c>
      <c r="B1141" s="10">
        <v>6</v>
      </c>
      <c r="C1141" s="37">
        <v>4.4799999999999996E-3</v>
      </c>
      <c r="D1141" s="12">
        <f>tb_Auditoria[[#This Row],[% TAXA RELATÓRIO]]*tb_Auditoria[[#This Row],[VALOR CRÉDITO]]</f>
        <v>1366.5154496</v>
      </c>
      <c r="E1141" s="13">
        <v>46161</v>
      </c>
      <c r="F1141" s="13" t="s">
        <v>18</v>
      </c>
      <c r="G114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4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41" s="19">
        <f>IFERROR(INDEX([1]!tb_Vendas[Crédito],MATCH(tb_Auditoria[[#This Row],[Nº CONTRATO]],[1]!tb_Vendas[Nº Contrato],0)),0)</f>
        <v>305025.77</v>
      </c>
      <c r="K1141" s="21">
        <f>IFERROR(tb_Auditoria[[#This Row],[VALOR ESPERADO]] / tb_Auditoria[[#This Row],[VALOR CRÉDITO]], 0)</f>
        <v>0</v>
      </c>
      <c r="L1141" s="19" t="e">
        <f>SUMIFS([1]!Motor_Comissão[Valor Previsto],[1]!Motor_Comissão[Chave], tb_Auditoria[[#This Row],[Nº CONTRATO]]&amp;"-"&amp;tb_Auditoria[[#This Row],[PARCELA ATUAL]])</f>
        <v>#REF!</v>
      </c>
      <c r="M1141" s="19" t="e">
        <f>tb_Auditoria[[#This Row],[VALOR PAGO]] - tb_Auditoria[[#This Row],[VALOR ESPERADO]]</f>
        <v>#REF!</v>
      </c>
      <c r="N11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2" spans="1:15">
      <c r="A1142" s="9">
        <v>1156233</v>
      </c>
      <c r="B1142" s="10">
        <v>1</v>
      </c>
      <c r="C1142" s="37">
        <v>4.4799999999999996E-3</v>
      </c>
      <c r="D1142" s="12">
        <f>tb_Auditoria[[#This Row],[% TAXA RELATÓRIO]]*tb_Auditoria[[#This Row],[VALOR CRÉDITO]]</f>
        <v>1366.5154496</v>
      </c>
      <c r="E1142" s="13">
        <v>46008</v>
      </c>
      <c r="F1142" s="13" t="s">
        <v>18</v>
      </c>
      <c r="G114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4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42" s="19">
        <f>IFERROR(INDEX([1]!tb_Vendas[Crédito],MATCH(tb_Auditoria[[#This Row],[Nº CONTRATO]],[1]!tb_Vendas[Nº Contrato],0)),0)</f>
        <v>305025.77</v>
      </c>
      <c r="K1142" s="21">
        <f>IFERROR(tb_Auditoria[[#This Row],[VALOR ESPERADO]] / tb_Auditoria[[#This Row],[VALOR CRÉDITO]], 0)</f>
        <v>0</v>
      </c>
      <c r="L1142" s="19" t="e">
        <f>SUMIFS([1]!Motor_Comissão[Valor Previsto],[1]!Motor_Comissão[Chave], tb_Auditoria[[#This Row],[Nº CONTRATO]]&amp;"-"&amp;tb_Auditoria[[#This Row],[PARCELA ATUAL]])</f>
        <v>#REF!</v>
      </c>
      <c r="M1142" s="19" t="e">
        <f>tb_Auditoria[[#This Row],[VALOR PAGO]] - tb_Auditoria[[#This Row],[VALOR ESPERADO]]</f>
        <v>#REF!</v>
      </c>
      <c r="N11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3" spans="1:15">
      <c r="A1143" s="9">
        <v>1156233</v>
      </c>
      <c r="B1143" s="10">
        <v>2</v>
      </c>
      <c r="C1143" s="37">
        <v>4.4799999999999996E-3</v>
      </c>
      <c r="D1143" s="12">
        <f>tb_Auditoria[[#This Row],[% TAXA RELATÓRIO]]*tb_Auditoria[[#This Row],[VALOR CRÉDITO]]</f>
        <v>1366.5154496</v>
      </c>
      <c r="E1143" s="13">
        <v>46038</v>
      </c>
      <c r="F1143" s="13" t="s">
        <v>18</v>
      </c>
      <c r="G114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4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43" s="19">
        <f>IFERROR(INDEX([1]!tb_Vendas[Crédito],MATCH(tb_Auditoria[[#This Row],[Nº CONTRATO]],[1]!tb_Vendas[Nº Contrato],0)),0)</f>
        <v>305025.77</v>
      </c>
      <c r="K1143" s="21">
        <f>IFERROR(tb_Auditoria[[#This Row],[VALOR ESPERADO]] / tb_Auditoria[[#This Row],[VALOR CRÉDITO]], 0)</f>
        <v>0</v>
      </c>
      <c r="L1143" s="19" t="e">
        <f>SUMIFS([1]!Motor_Comissão[Valor Previsto],[1]!Motor_Comissão[Chave], tb_Auditoria[[#This Row],[Nº CONTRATO]]&amp;"-"&amp;tb_Auditoria[[#This Row],[PARCELA ATUAL]])</f>
        <v>#REF!</v>
      </c>
      <c r="M1143" s="19" t="e">
        <f>tb_Auditoria[[#This Row],[VALOR PAGO]] - tb_Auditoria[[#This Row],[VALOR ESPERADO]]</f>
        <v>#REF!</v>
      </c>
      <c r="N11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4" spans="1:15">
      <c r="A1144" s="9">
        <v>1156233</v>
      </c>
      <c r="B1144" s="10">
        <v>3</v>
      </c>
      <c r="C1144" s="37">
        <v>4.4799999999999996E-3</v>
      </c>
      <c r="D1144" s="12">
        <f>tb_Auditoria[[#This Row],[% TAXA RELATÓRIO]]*tb_Auditoria[[#This Row],[VALOR CRÉDITO]]</f>
        <v>1366.5154496</v>
      </c>
      <c r="E1144" s="13">
        <v>46072</v>
      </c>
      <c r="F1144" s="13" t="s">
        <v>18</v>
      </c>
      <c r="G114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4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44" s="19">
        <f>IFERROR(INDEX([1]!tb_Vendas[Crédito],MATCH(tb_Auditoria[[#This Row],[Nº CONTRATO]],[1]!tb_Vendas[Nº Contrato],0)),0)</f>
        <v>305025.77</v>
      </c>
      <c r="K1144" s="21">
        <f>IFERROR(tb_Auditoria[[#This Row],[VALOR ESPERADO]] / tb_Auditoria[[#This Row],[VALOR CRÉDITO]], 0)</f>
        <v>0</v>
      </c>
      <c r="L1144" s="19" t="e">
        <f>SUMIFS([1]!Motor_Comissão[Valor Previsto],[1]!Motor_Comissão[Chave], tb_Auditoria[[#This Row],[Nº CONTRATO]]&amp;"-"&amp;tb_Auditoria[[#This Row],[PARCELA ATUAL]])</f>
        <v>#REF!</v>
      </c>
      <c r="M1144" s="19" t="e">
        <f>tb_Auditoria[[#This Row],[VALOR PAGO]] - tb_Auditoria[[#This Row],[VALOR ESPERADO]]</f>
        <v>#REF!</v>
      </c>
      <c r="N11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5" spans="1:15">
      <c r="A1145" s="9">
        <v>1156233</v>
      </c>
      <c r="B1145" s="10">
        <v>4</v>
      </c>
      <c r="C1145" s="37">
        <v>4.4799999999999996E-3</v>
      </c>
      <c r="D1145" s="12">
        <f>tb_Auditoria[[#This Row],[% TAXA RELATÓRIO]]*tb_Auditoria[[#This Row],[VALOR CRÉDITO]]</f>
        <v>1366.5154496</v>
      </c>
      <c r="E1145" s="13">
        <v>46100</v>
      </c>
      <c r="F1145" s="13" t="s">
        <v>18</v>
      </c>
      <c r="G114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4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45" s="19">
        <f>IFERROR(INDEX([1]!tb_Vendas[Crédito],MATCH(tb_Auditoria[[#This Row],[Nº CONTRATO]],[1]!tb_Vendas[Nº Contrato],0)),0)</f>
        <v>305025.77</v>
      </c>
      <c r="K1145" s="21">
        <f>IFERROR(tb_Auditoria[[#This Row],[VALOR ESPERADO]] / tb_Auditoria[[#This Row],[VALOR CRÉDITO]], 0)</f>
        <v>0</v>
      </c>
      <c r="L1145" s="19" t="e">
        <f>SUMIFS([1]!Motor_Comissão[Valor Previsto],[1]!Motor_Comissão[Chave], tb_Auditoria[[#This Row],[Nº CONTRATO]]&amp;"-"&amp;tb_Auditoria[[#This Row],[PARCELA ATUAL]])</f>
        <v>#REF!</v>
      </c>
      <c r="M1145" s="19" t="e">
        <f>tb_Auditoria[[#This Row],[VALOR PAGO]] - tb_Auditoria[[#This Row],[VALOR ESPERADO]]</f>
        <v>#REF!</v>
      </c>
      <c r="N11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6" spans="1:15">
      <c r="A1146" s="9">
        <v>1156233</v>
      </c>
      <c r="B1146" s="10">
        <v>5</v>
      </c>
      <c r="C1146" s="37">
        <v>4.4799999999999996E-3</v>
      </c>
      <c r="D1146" s="12">
        <f>tb_Auditoria[[#This Row],[% TAXA RELATÓRIO]]*tb_Auditoria[[#This Row],[VALOR CRÉDITO]]</f>
        <v>1366.5154496</v>
      </c>
      <c r="E1146" s="13">
        <v>46129</v>
      </c>
      <c r="F1146" s="13" t="s">
        <v>18</v>
      </c>
      <c r="G114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4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46" s="19">
        <f>IFERROR(INDEX([1]!tb_Vendas[Crédito],MATCH(tb_Auditoria[[#This Row],[Nº CONTRATO]],[1]!tb_Vendas[Nº Contrato],0)),0)</f>
        <v>305025.77</v>
      </c>
      <c r="K1146" s="21">
        <f>IFERROR(tb_Auditoria[[#This Row],[VALOR ESPERADO]] / tb_Auditoria[[#This Row],[VALOR CRÉDITO]], 0)</f>
        <v>0</v>
      </c>
      <c r="L1146" s="19" t="e">
        <f>SUMIFS([1]!Motor_Comissão[Valor Previsto],[1]!Motor_Comissão[Chave], tb_Auditoria[[#This Row],[Nº CONTRATO]]&amp;"-"&amp;tb_Auditoria[[#This Row],[PARCELA ATUAL]])</f>
        <v>#REF!</v>
      </c>
      <c r="M1146" s="19" t="e">
        <f>tb_Auditoria[[#This Row],[VALOR PAGO]] - tb_Auditoria[[#This Row],[VALOR ESPERADO]]</f>
        <v>#REF!</v>
      </c>
      <c r="N11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7" spans="1:15">
      <c r="A1147" s="9">
        <v>1156233</v>
      </c>
      <c r="B1147" s="10">
        <v>6</v>
      </c>
      <c r="C1147" s="37">
        <v>4.4799999999999996E-3</v>
      </c>
      <c r="D1147" s="12">
        <f>tb_Auditoria[[#This Row],[% TAXA RELATÓRIO]]*tb_Auditoria[[#This Row],[VALOR CRÉDITO]]</f>
        <v>1366.5154496</v>
      </c>
      <c r="E1147" s="13">
        <v>46161</v>
      </c>
      <c r="F1147" s="13" t="s">
        <v>18</v>
      </c>
      <c r="G114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4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47" s="19">
        <f>IFERROR(INDEX([1]!tb_Vendas[Crédito],MATCH(tb_Auditoria[[#This Row],[Nº CONTRATO]],[1]!tb_Vendas[Nº Contrato],0)),0)</f>
        <v>305025.77</v>
      </c>
      <c r="K1147" s="21">
        <f>IFERROR(tb_Auditoria[[#This Row],[VALOR ESPERADO]] / tb_Auditoria[[#This Row],[VALOR CRÉDITO]], 0)</f>
        <v>0</v>
      </c>
      <c r="L1147" s="19" t="e">
        <f>SUMIFS([1]!Motor_Comissão[Valor Previsto],[1]!Motor_Comissão[Chave], tb_Auditoria[[#This Row],[Nº CONTRATO]]&amp;"-"&amp;tb_Auditoria[[#This Row],[PARCELA ATUAL]])</f>
        <v>#REF!</v>
      </c>
      <c r="M1147" s="19" t="e">
        <f>tb_Auditoria[[#This Row],[VALOR PAGO]] - tb_Auditoria[[#This Row],[VALOR ESPERADO]]</f>
        <v>#REF!</v>
      </c>
      <c r="N11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8" spans="1:15">
      <c r="A1148" s="9">
        <v>1156235</v>
      </c>
      <c r="B1148" s="10">
        <v>1</v>
      </c>
      <c r="C1148" s="37">
        <v>4.7359999999999998E-3</v>
      </c>
      <c r="D1148" s="12">
        <f>tb_Auditoria[[#This Row],[% TAXA RELATÓRIO]]*tb_Auditoria[[#This Row],[VALOR CRÉDITO]]</f>
        <v>1352.0867967999998</v>
      </c>
      <c r="E1148" s="13">
        <v>46008</v>
      </c>
      <c r="F1148" s="13" t="s">
        <v>18</v>
      </c>
      <c r="G114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4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48" s="19">
        <f>IFERROR(INDEX([1]!tb_Vendas[Crédito],MATCH(tb_Auditoria[[#This Row],[Nº CONTRATO]],[1]!tb_Vendas[Nº Contrato],0)),0)</f>
        <v>285491.3</v>
      </c>
      <c r="K1148" s="21">
        <f>IFERROR(tb_Auditoria[[#This Row],[VALOR ESPERADO]] / tb_Auditoria[[#This Row],[VALOR CRÉDITO]], 0)</f>
        <v>0</v>
      </c>
      <c r="L1148" s="19" t="e">
        <f>SUMIFS([1]!Motor_Comissão[Valor Previsto],[1]!Motor_Comissão[Chave], tb_Auditoria[[#This Row],[Nº CONTRATO]]&amp;"-"&amp;tb_Auditoria[[#This Row],[PARCELA ATUAL]])</f>
        <v>#REF!</v>
      </c>
      <c r="M1148" s="19" t="e">
        <f>tb_Auditoria[[#This Row],[VALOR PAGO]] - tb_Auditoria[[#This Row],[VALOR ESPERADO]]</f>
        <v>#REF!</v>
      </c>
      <c r="N11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49" spans="1:15">
      <c r="A1149" s="9">
        <v>1156235</v>
      </c>
      <c r="B1149" s="10">
        <v>2</v>
      </c>
      <c r="C1149" s="37">
        <v>4.7359999999999998E-3</v>
      </c>
      <c r="D1149" s="12">
        <f>tb_Auditoria[[#This Row],[% TAXA RELATÓRIO]]*tb_Auditoria[[#This Row],[VALOR CRÉDITO]]</f>
        <v>1352.0867967999998</v>
      </c>
      <c r="E1149" s="13">
        <v>46038</v>
      </c>
      <c r="F1149" s="13" t="s">
        <v>18</v>
      </c>
      <c r="G114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4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4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49" s="19">
        <f>IFERROR(INDEX([1]!tb_Vendas[Crédito],MATCH(tb_Auditoria[[#This Row],[Nº CONTRATO]],[1]!tb_Vendas[Nº Contrato],0)),0)</f>
        <v>285491.3</v>
      </c>
      <c r="K1149" s="21">
        <f>IFERROR(tb_Auditoria[[#This Row],[VALOR ESPERADO]] / tb_Auditoria[[#This Row],[VALOR CRÉDITO]], 0)</f>
        <v>0</v>
      </c>
      <c r="L1149" s="19" t="e">
        <f>SUMIFS([1]!Motor_Comissão[Valor Previsto],[1]!Motor_Comissão[Chave], tb_Auditoria[[#This Row],[Nº CONTRATO]]&amp;"-"&amp;tb_Auditoria[[#This Row],[PARCELA ATUAL]])</f>
        <v>#REF!</v>
      </c>
      <c r="M1149" s="19" t="e">
        <f>tb_Auditoria[[#This Row],[VALOR PAGO]] - tb_Auditoria[[#This Row],[VALOR ESPERADO]]</f>
        <v>#REF!</v>
      </c>
      <c r="N11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0" spans="1:15">
      <c r="A1150" s="9">
        <v>1156235</v>
      </c>
      <c r="B1150" s="10">
        <v>3</v>
      </c>
      <c r="C1150" s="37">
        <v>4.7359999999999998E-3</v>
      </c>
      <c r="D1150" s="12">
        <f>tb_Auditoria[[#This Row],[% TAXA RELATÓRIO]]*tb_Auditoria[[#This Row],[VALOR CRÉDITO]]</f>
        <v>1352.0867967999998</v>
      </c>
      <c r="E1150" s="13">
        <v>46072</v>
      </c>
      <c r="F1150" s="13" t="s">
        <v>18</v>
      </c>
      <c r="G115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5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50" s="19">
        <f>IFERROR(INDEX([1]!tb_Vendas[Crédito],MATCH(tb_Auditoria[[#This Row],[Nº CONTRATO]],[1]!tb_Vendas[Nº Contrato],0)),0)</f>
        <v>285491.3</v>
      </c>
      <c r="K1150" s="21">
        <f>IFERROR(tb_Auditoria[[#This Row],[VALOR ESPERADO]] / tb_Auditoria[[#This Row],[VALOR CRÉDITO]], 0)</f>
        <v>0</v>
      </c>
      <c r="L1150" s="19" t="e">
        <f>SUMIFS([1]!Motor_Comissão[Valor Previsto],[1]!Motor_Comissão[Chave], tb_Auditoria[[#This Row],[Nº CONTRATO]]&amp;"-"&amp;tb_Auditoria[[#This Row],[PARCELA ATUAL]])</f>
        <v>#REF!</v>
      </c>
      <c r="M1150" s="19" t="e">
        <f>tb_Auditoria[[#This Row],[VALOR PAGO]] - tb_Auditoria[[#This Row],[VALOR ESPERADO]]</f>
        <v>#REF!</v>
      </c>
      <c r="N11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1" spans="1:15">
      <c r="A1151" s="9">
        <v>1156235</v>
      </c>
      <c r="B1151" s="10">
        <v>4</v>
      </c>
      <c r="C1151" s="37">
        <v>4.7359999999999998E-3</v>
      </c>
      <c r="D1151" s="12">
        <f>tb_Auditoria[[#This Row],[% TAXA RELATÓRIO]]*tb_Auditoria[[#This Row],[VALOR CRÉDITO]]</f>
        <v>1352.0867967999998</v>
      </c>
      <c r="E1151" s="13">
        <v>46100</v>
      </c>
      <c r="F1151" s="13" t="s">
        <v>18</v>
      </c>
      <c r="G115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5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51" s="19">
        <f>IFERROR(INDEX([1]!tb_Vendas[Crédito],MATCH(tb_Auditoria[[#This Row],[Nº CONTRATO]],[1]!tb_Vendas[Nº Contrato],0)),0)</f>
        <v>285491.3</v>
      </c>
      <c r="K1151" s="21">
        <f>IFERROR(tb_Auditoria[[#This Row],[VALOR ESPERADO]] / tb_Auditoria[[#This Row],[VALOR CRÉDITO]], 0)</f>
        <v>0</v>
      </c>
      <c r="L1151" s="19" t="e">
        <f>SUMIFS([1]!Motor_Comissão[Valor Previsto],[1]!Motor_Comissão[Chave], tb_Auditoria[[#This Row],[Nº CONTRATO]]&amp;"-"&amp;tb_Auditoria[[#This Row],[PARCELA ATUAL]])</f>
        <v>#REF!</v>
      </c>
      <c r="M1151" s="19" t="e">
        <f>tb_Auditoria[[#This Row],[VALOR PAGO]] - tb_Auditoria[[#This Row],[VALOR ESPERADO]]</f>
        <v>#REF!</v>
      </c>
      <c r="N11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2" spans="1:15">
      <c r="A1152" s="9">
        <v>1156235</v>
      </c>
      <c r="B1152" s="10">
        <v>5</v>
      </c>
      <c r="C1152" s="37">
        <v>4.7359999999999998E-3</v>
      </c>
      <c r="D1152" s="12">
        <f>tb_Auditoria[[#This Row],[% TAXA RELATÓRIO]]*tb_Auditoria[[#This Row],[VALOR CRÉDITO]]</f>
        <v>1352.0867967999998</v>
      </c>
      <c r="E1152" s="13">
        <v>46129</v>
      </c>
      <c r="F1152" s="13" t="s">
        <v>18</v>
      </c>
      <c r="G115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5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52" s="19">
        <f>IFERROR(INDEX([1]!tb_Vendas[Crédito],MATCH(tb_Auditoria[[#This Row],[Nº CONTRATO]],[1]!tb_Vendas[Nº Contrato],0)),0)</f>
        <v>285491.3</v>
      </c>
      <c r="K1152" s="21">
        <f>IFERROR(tb_Auditoria[[#This Row],[VALOR ESPERADO]] / tb_Auditoria[[#This Row],[VALOR CRÉDITO]], 0)</f>
        <v>0</v>
      </c>
      <c r="L1152" s="19" t="e">
        <f>SUMIFS([1]!Motor_Comissão[Valor Previsto],[1]!Motor_Comissão[Chave], tb_Auditoria[[#This Row],[Nº CONTRATO]]&amp;"-"&amp;tb_Auditoria[[#This Row],[PARCELA ATUAL]])</f>
        <v>#REF!</v>
      </c>
      <c r="M1152" s="19" t="e">
        <f>tb_Auditoria[[#This Row],[VALOR PAGO]] - tb_Auditoria[[#This Row],[VALOR ESPERADO]]</f>
        <v>#REF!</v>
      </c>
      <c r="N115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3" spans="1:15">
      <c r="A1153" s="9">
        <v>1156235</v>
      </c>
      <c r="B1153" s="10">
        <v>6</v>
      </c>
      <c r="C1153" s="37">
        <v>4.7359999999999998E-3</v>
      </c>
      <c r="D1153" s="12">
        <f>tb_Auditoria[[#This Row],[% TAXA RELATÓRIO]]*tb_Auditoria[[#This Row],[VALOR CRÉDITO]]</f>
        <v>1352.0867967999998</v>
      </c>
      <c r="E1153" s="13">
        <v>46161</v>
      </c>
      <c r="F1153" s="13" t="s">
        <v>18</v>
      </c>
      <c r="G115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5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53" s="19">
        <f>IFERROR(INDEX([1]!tb_Vendas[Crédito],MATCH(tb_Auditoria[[#This Row],[Nº CONTRATO]],[1]!tb_Vendas[Nº Contrato],0)),0)</f>
        <v>285491.3</v>
      </c>
      <c r="K1153" s="21">
        <f>IFERROR(tb_Auditoria[[#This Row],[VALOR ESPERADO]] / tb_Auditoria[[#This Row],[VALOR CRÉDITO]], 0)</f>
        <v>0</v>
      </c>
      <c r="L1153" s="19" t="e">
        <f>SUMIFS([1]!Motor_Comissão[Valor Previsto],[1]!Motor_Comissão[Chave], tb_Auditoria[[#This Row],[Nº CONTRATO]]&amp;"-"&amp;tb_Auditoria[[#This Row],[PARCELA ATUAL]])</f>
        <v>#REF!</v>
      </c>
      <c r="M1153" s="19" t="e">
        <f>tb_Auditoria[[#This Row],[VALOR PAGO]] - tb_Auditoria[[#This Row],[VALOR ESPERADO]]</f>
        <v>#REF!</v>
      </c>
      <c r="N11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4" spans="1:15">
      <c r="A1154" s="9">
        <v>1156236</v>
      </c>
      <c r="B1154" s="10">
        <v>1</v>
      </c>
      <c r="C1154" s="37">
        <v>4.7359999999999998E-3</v>
      </c>
      <c r="D1154" s="12">
        <f>tb_Auditoria[[#This Row],[% TAXA RELATÓRIO]]*tb_Auditoria[[#This Row],[VALOR CRÉDITO]]</f>
        <v>1352.0867967999998</v>
      </c>
      <c r="E1154" s="13">
        <v>46008</v>
      </c>
      <c r="F1154" s="13" t="s">
        <v>18</v>
      </c>
      <c r="G115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5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54" s="19">
        <f>IFERROR(INDEX([1]!tb_Vendas[Crédito],MATCH(tb_Auditoria[[#This Row],[Nº CONTRATO]],[1]!tb_Vendas[Nº Contrato],0)),0)</f>
        <v>285491.3</v>
      </c>
      <c r="K1154" s="21">
        <f>IFERROR(tb_Auditoria[[#This Row],[VALOR ESPERADO]] / tb_Auditoria[[#This Row],[VALOR CRÉDITO]], 0)</f>
        <v>0</v>
      </c>
      <c r="L1154" s="19" t="e">
        <f>SUMIFS([1]!Motor_Comissão[Valor Previsto],[1]!Motor_Comissão[Chave], tb_Auditoria[[#This Row],[Nº CONTRATO]]&amp;"-"&amp;tb_Auditoria[[#This Row],[PARCELA ATUAL]])</f>
        <v>#REF!</v>
      </c>
      <c r="M1154" s="19" t="e">
        <f>tb_Auditoria[[#This Row],[VALOR PAGO]] - tb_Auditoria[[#This Row],[VALOR ESPERADO]]</f>
        <v>#REF!</v>
      </c>
      <c r="N11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5" spans="1:15">
      <c r="A1155" s="9">
        <v>1156236</v>
      </c>
      <c r="B1155" s="10">
        <v>2</v>
      </c>
      <c r="C1155" s="37">
        <v>4.7359999999999998E-3</v>
      </c>
      <c r="D1155" s="12">
        <f>tb_Auditoria[[#This Row],[% TAXA RELATÓRIO]]*tb_Auditoria[[#This Row],[VALOR CRÉDITO]]</f>
        <v>1352.0867967999998</v>
      </c>
      <c r="E1155" s="13">
        <v>46038</v>
      </c>
      <c r="F1155" s="13" t="s">
        <v>18</v>
      </c>
      <c r="G115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5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55" s="19">
        <f>IFERROR(INDEX([1]!tb_Vendas[Crédito],MATCH(tb_Auditoria[[#This Row],[Nº CONTRATO]],[1]!tb_Vendas[Nº Contrato],0)),0)</f>
        <v>285491.3</v>
      </c>
      <c r="K1155" s="21">
        <f>IFERROR(tb_Auditoria[[#This Row],[VALOR ESPERADO]] / tb_Auditoria[[#This Row],[VALOR CRÉDITO]], 0)</f>
        <v>0</v>
      </c>
      <c r="L1155" s="19" t="e">
        <f>SUMIFS([1]!Motor_Comissão[Valor Previsto],[1]!Motor_Comissão[Chave], tb_Auditoria[[#This Row],[Nº CONTRATO]]&amp;"-"&amp;tb_Auditoria[[#This Row],[PARCELA ATUAL]])</f>
        <v>#REF!</v>
      </c>
      <c r="M1155" s="19" t="e">
        <f>tb_Auditoria[[#This Row],[VALOR PAGO]] - tb_Auditoria[[#This Row],[VALOR ESPERADO]]</f>
        <v>#REF!</v>
      </c>
      <c r="N115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6" spans="1:15">
      <c r="A1156" s="9">
        <v>1156236</v>
      </c>
      <c r="B1156" s="10">
        <v>3</v>
      </c>
      <c r="C1156" s="37">
        <v>4.7359999999999998E-3</v>
      </c>
      <c r="D1156" s="12">
        <f>tb_Auditoria[[#This Row],[% TAXA RELATÓRIO]]*tb_Auditoria[[#This Row],[VALOR CRÉDITO]]</f>
        <v>1352.0867967999998</v>
      </c>
      <c r="E1156" s="13">
        <v>46072</v>
      </c>
      <c r="F1156" s="13" t="s">
        <v>18</v>
      </c>
      <c r="G115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5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56" s="19">
        <f>IFERROR(INDEX([1]!tb_Vendas[Crédito],MATCH(tb_Auditoria[[#This Row],[Nº CONTRATO]],[1]!tb_Vendas[Nº Contrato],0)),0)</f>
        <v>285491.3</v>
      </c>
      <c r="K1156" s="21">
        <f>IFERROR(tb_Auditoria[[#This Row],[VALOR ESPERADO]] / tb_Auditoria[[#This Row],[VALOR CRÉDITO]], 0)</f>
        <v>0</v>
      </c>
      <c r="L1156" s="19" t="e">
        <f>SUMIFS([1]!Motor_Comissão[Valor Previsto],[1]!Motor_Comissão[Chave], tb_Auditoria[[#This Row],[Nº CONTRATO]]&amp;"-"&amp;tb_Auditoria[[#This Row],[PARCELA ATUAL]])</f>
        <v>#REF!</v>
      </c>
      <c r="M1156" s="19" t="e">
        <f>tb_Auditoria[[#This Row],[VALOR PAGO]] - tb_Auditoria[[#This Row],[VALOR ESPERADO]]</f>
        <v>#REF!</v>
      </c>
      <c r="N11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7" spans="1:15">
      <c r="A1157" s="9">
        <v>1156236</v>
      </c>
      <c r="B1157" s="10">
        <v>4</v>
      </c>
      <c r="C1157" s="37">
        <v>4.7359999999999998E-3</v>
      </c>
      <c r="D1157" s="12">
        <f>tb_Auditoria[[#This Row],[% TAXA RELATÓRIO]]*tb_Auditoria[[#This Row],[VALOR CRÉDITO]]</f>
        <v>1352.0867967999998</v>
      </c>
      <c r="E1157" s="13">
        <v>46100</v>
      </c>
      <c r="F1157" s="13" t="s">
        <v>18</v>
      </c>
      <c r="G115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5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57" s="19">
        <f>IFERROR(INDEX([1]!tb_Vendas[Crédito],MATCH(tb_Auditoria[[#This Row],[Nº CONTRATO]],[1]!tb_Vendas[Nº Contrato],0)),0)</f>
        <v>285491.3</v>
      </c>
      <c r="K1157" s="21">
        <f>IFERROR(tb_Auditoria[[#This Row],[VALOR ESPERADO]] / tb_Auditoria[[#This Row],[VALOR CRÉDITO]], 0)</f>
        <v>0</v>
      </c>
      <c r="L1157" s="19" t="e">
        <f>SUMIFS([1]!Motor_Comissão[Valor Previsto],[1]!Motor_Comissão[Chave], tb_Auditoria[[#This Row],[Nº CONTRATO]]&amp;"-"&amp;tb_Auditoria[[#This Row],[PARCELA ATUAL]])</f>
        <v>#REF!</v>
      </c>
      <c r="M1157" s="19" t="e">
        <f>tb_Auditoria[[#This Row],[VALOR PAGO]] - tb_Auditoria[[#This Row],[VALOR ESPERADO]]</f>
        <v>#REF!</v>
      </c>
      <c r="N11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8" spans="1:15">
      <c r="A1158" s="9">
        <v>1156236</v>
      </c>
      <c r="B1158" s="10">
        <v>5</v>
      </c>
      <c r="C1158" s="37">
        <v>4.7359999999999998E-3</v>
      </c>
      <c r="D1158" s="12">
        <f>tb_Auditoria[[#This Row],[% TAXA RELATÓRIO]]*tb_Auditoria[[#This Row],[VALOR CRÉDITO]]</f>
        <v>1352.0867967999998</v>
      </c>
      <c r="E1158" s="13">
        <v>46129</v>
      </c>
      <c r="F1158" s="13" t="s">
        <v>18</v>
      </c>
      <c r="G115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5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58" s="19">
        <f>IFERROR(INDEX([1]!tb_Vendas[Crédito],MATCH(tb_Auditoria[[#This Row],[Nº CONTRATO]],[1]!tb_Vendas[Nº Contrato],0)),0)</f>
        <v>285491.3</v>
      </c>
      <c r="K1158" s="21">
        <f>IFERROR(tb_Auditoria[[#This Row],[VALOR ESPERADO]] / tb_Auditoria[[#This Row],[VALOR CRÉDITO]], 0)</f>
        <v>0</v>
      </c>
      <c r="L1158" s="19" t="e">
        <f>SUMIFS([1]!Motor_Comissão[Valor Previsto],[1]!Motor_Comissão[Chave], tb_Auditoria[[#This Row],[Nº CONTRATO]]&amp;"-"&amp;tb_Auditoria[[#This Row],[PARCELA ATUAL]])</f>
        <v>#REF!</v>
      </c>
      <c r="M1158" s="19" t="e">
        <f>tb_Auditoria[[#This Row],[VALOR PAGO]] - tb_Auditoria[[#This Row],[VALOR ESPERADO]]</f>
        <v>#REF!</v>
      </c>
      <c r="N115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59" spans="1:15">
      <c r="A1159" s="9">
        <v>1156236</v>
      </c>
      <c r="B1159" s="10">
        <v>6</v>
      </c>
      <c r="C1159" s="37">
        <v>4.7359999999999998E-3</v>
      </c>
      <c r="D1159" s="12">
        <f>tb_Auditoria[[#This Row],[% TAXA RELATÓRIO]]*tb_Auditoria[[#This Row],[VALOR CRÉDITO]]</f>
        <v>1352.0867967999998</v>
      </c>
      <c r="E1159" s="13">
        <v>46161</v>
      </c>
      <c r="F1159" s="13" t="s">
        <v>18</v>
      </c>
      <c r="G115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5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5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59" s="19">
        <f>IFERROR(INDEX([1]!tb_Vendas[Crédito],MATCH(tb_Auditoria[[#This Row],[Nº CONTRATO]],[1]!tb_Vendas[Nº Contrato],0)),0)</f>
        <v>285491.3</v>
      </c>
      <c r="K1159" s="21">
        <f>IFERROR(tb_Auditoria[[#This Row],[VALOR ESPERADO]] / tb_Auditoria[[#This Row],[VALOR CRÉDITO]], 0)</f>
        <v>0</v>
      </c>
      <c r="L1159" s="19" t="e">
        <f>SUMIFS([1]!Motor_Comissão[Valor Previsto],[1]!Motor_Comissão[Chave], tb_Auditoria[[#This Row],[Nº CONTRATO]]&amp;"-"&amp;tb_Auditoria[[#This Row],[PARCELA ATUAL]])</f>
        <v>#REF!</v>
      </c>
      <c r="M1159" s="19" t="e">
        <f>tb_Auditoria[[#This Row],[VALOR PAGO]] - tb_Auditoria[[#This Row],[VALOR ESPERADO]]</f>
        <v>#REF!</v>
      </c>
      <c r="N115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5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0" spans="1:15">
      <c r="A1160" s="9">
        <v>1156237</v>
      </c>
      <c r="B1160" s="10">
        <v>1</v>
      </c>
      <c r="C1160" s="37">
        <v>4.8640000000000003E-3</v>
      </c>
      <c r="D1160" s="12">
        <f>tb_Auditoria[[#This Row],[% TAXA RELATÓRIO]]*tb_Auditoria[[#This Row],[VALOR CRÉDITO]]</f>
        <v>1357.13834752</v>
      </c>
      <c r="E1160" s="13">
        <v>46008</v>
      </c>
      <c r="F1160" s="13" t="s">
        <v>18</v>
      </c>
      <c r="G116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6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60" s="19">
        <f>IFERROR(INDEX([1]!tb_Vendas[Crédito],MATCH(tb_Auditoria[[#This Row],[Nº CONTRATO]],[1]!tb_Vendas[Nº Contrato],0)),0)</f>
        <v>279016.93</v>
      </c>
      <c r="K1160" s="21">
        <f>IFERROR(tb_Auditoria[[#This Row],[VALOR ESPERADO]] / tb_Auditoria[[#This Row],[VALOR CRÉDITO]], 0)</f>
        <v>0</v>
      </c>
      <c r="L1160" s="19" t="e">
        <f>SUMIFS([1]!Motor_Comissão[Valor Previsto],[1]!Motor_Comissão[Chave], tb_Auditoria[[#This Row],[Nº CONTRATO]]&amp;"-"&amp;tb_Auditoria[[#This Row],[PARCELA ATUAL]])</f>
        <v>#REF!</v>
      </c>
      <c r="M1160" s="19" t="e">
        <f>tb_Auditoria[[#This Row],[VALOR PAGO]] - tb_Auditoria[[#This Row],[VALOR ESPERADO]]</f>
        <v>#REF!</v>
      </c>
      <c r="N116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1" spans="1:15">
      <c r="A1161" s="9">
        <v>1156237</v>
      </c>
      <c r="B1161" s="10">
        <v>2</v>
      </c>
      <c r="C1161" s="37">
        <v>4.8640000000000003E-3</v>
      </c>
      <c r="D1161" s="12">
        <f>tb_Auditoria[[#This Row],[% TAXA RELATÓRIO]]*tb_Auditoria[[#This Row],[VALOR CRÉDITO]]</f>
        <v>1357.13834752</v>
      </c>
      <c r="E1161" s="13">
        <v>46038</v>
      </c>
      <c r="F1161" s="13" t="s">
        <v>18</v>
      </c>
      <c r="G116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6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61" s="19">
        <f>IFERROR(INDEX([1]!tb_Vendas[Crédito],MATCH(tb_Auditoria[[#This Row],[Nº CONTRATO]],[1]!tb_Vendas[Nº Contrato],0)),0)</f>
        <v>279016.93</v>
      </c>
      <c r="K1161" s="21">
        <f>IFERROR(tb_Auditoria[[#This Row],[VALOR ESPERADO]] / tb_Auditoria[[#This Row],[VALOR CRÉDITO]], 0)</f>
        <v>0</v>
      </c>
      <c r="L1161" s="19" t="e">
        <f>SUMIFS([1]!Motor_Comissão[Valor Previsto],[1]!Motor_Comissão[Chave], tb_Auditoria[[#This Row],[Nº CONTRATO]]&amp;"-"&amp;tb_Auditoria[[#This Row],[PARCELA ATUAL]])</f>
        <v>#REF!</v>
      </c>
      <c r="M1161" s="19" t="e">
        <f>tb_Auditoria[[#This Row],[VALOR PAGO]] - tb_Auditoria[[#This Row],[VALOR ESPERADO]]</f>
        <v>#REF!</v>
      </c>
      <c r="N116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2" spans="1:15">
      <c r="A1162" s="9">
        <v>1156237</v>
      </c>
      <c r="B1162" s="10">
        <v>3</v>
      </c>
      <c r="C1162" s="37">
        <v>4.8640000000000003E-3</v>
      </c>
      <c r="D1162" s="12">
        <f>tb_Auditoria[[#This Row],[% TAXA RELATÓRIO]]*tb_Auditoria[[#This Row],[VALOR CRÉDITO]]</f>
        <v>1357.13834752</v>
      </c>
      <c r="E1162" s="13">
        <v>46072</v>
      </c>
      <c r="F1162" s="13" t="s">
        <v>18</v>
      </c>
      <c r="G116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6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62" s="19">
        <f>IFERROR(INDEX([1]!tb_Vendas[Crédito],MATCH(tb_Auditoria[[#This Row],[Nº CONTRATO]],[1]!tb_Vendas[Nº Contrato],0)),0)</f>
        <v>279016.93</v>
      </c>
      <c r="K1162" s="21">
        <f>IFERROR(tb_Auditoria[[#This Row],[VALOR ESPERADO]] / tb_Auditoria[[#This Row],[VALOR CRÉDITO]], 0)</f>
        <v>0</v>
      </c>
      <c r="L1162" s="19" t="e">
        <f>SUMIFS([1]!Motor_Comissão[Valor Previsto],[1]!Motor_Comissão[Chave], tb_Auditoria[[#This Row],[Nº CONTRATO]]&amp;"-"&amp;tb_Auditoria[[#This Row],[PARCELA ATUAL]])</f>
        <v>#REF!</v>
      </c>
      <c r="M1162" s="19" t="e">
        <f>tb_Auditoria[[#This Row],[VALOR PAGO]] - tb_Auditoria[[#This Row],[VALOR ESPERADO]]</f>
        <v>#REF!</v>
      </c>
      <c r="N116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3" spans="1:15">
      <c r="A1163" s="9">
        <v>1156237</v>
      </c>
      <c r="B1163" s="10">
        <v>4</v>
      </c>
      <c r="C1163" s="37">
        <v>4.8640000000000003E-3</v>
      </c>
      <c r="D1163" s="12">
        <f>tb_Auditoria[[#This Row],[% TAXA RELATÓRIO]]*tb_Auditoria[[#This Row],[VALOR CRÉDITO]]</f>
        <v>1357.13834752</v>
      </c>
      <c r="E1163" s="13">
        <v>46100</v>
      </c>
      <c r="F1163" s="13" t="s">
        <v>18</v>
      </c>
      <c r="G116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6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63" s="19">
        <f>IFERROR(INDEX([1]!tb_Vendas[Crédito],MATCH(tb_Auditoria[[#This Row],[Nº CONTRATO]],[1]!tb_Vendas[Nº Contrato],0)),0)</f>
        <v>279016.93</v>
      </c>
      <c r="K1163" s="21">
        <f>IFERROR(tb_Auditoria[[#This Row],[VALOR ESPERADO]] / tb_Auditoria[[#This Row],[VALOR CRÉDITO]], 0)</f>
        <v>0</v>
      </c>
      <c r="L1163" s="19" t="e">
        <f>SUMIFS([1]!Motor_Comissão[Valor Previsto],[1]!Motor_Comissão[Chave], tb_Auditoria[[#This Row],[Nº CONTRATO]]&amp;"-"&amp;tb_Auditoria[[#This Row],[PARCELA ATUAL]])</f>
        <v>#REF!</v>
      </c>
      <c r="M1163" s="19" t="e">
        <f>tb_Auditoria[[#This Row],[VALOR PAGO]] - tb_Auditoria[[#This Row],[VALOR ESPERADO]]</f>
        <v>#REF!</v>
      </c>
      <c r="N116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4" spans="1:15">
      <c r="A1164" s="9">
        <v>1156237</v>
      </c>
      <c r="B1164" s="10">
        <v>5</v>
      </c>
      <c r="C1164" s="37">
        <v>4.8640000000000003E-3</v>
      </c>
      <c r="D1164" s="12">
        <f>tb_Auditoria[[#This Row],[% TAXA RELATÓRIO]]*tb_Auditoria[[#This Row],[VALOR CRÉDITO]]</f>
        <v>1357.13834752</v>
      </c>
      <c r="E1164" s="13">
        <v>46129</v>
      </c>
      <c r="F1164" s="13" t="s">
        <v>18</v>
      </c>
      <c r="G116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6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64" s="19">
        <f>IFERROR(INDEX([1]!tb_Vendas[Crédito],MATCH(tb_Auditoria[[#This Row],[Nº CONTRATO]],[1]!tb_Vendas[Nº Contrato],0)),0)</f>
        <v>279016.93</v>
      </c>
      <c r="K1164" s="21">
        <f>IFERROR(tb_Auditoria[[#This Row],[VALOR ESPERADO]] / tb_Auditoria[[#This Row],[VALOR CRÉDITO]], 0)</f>
        <v>0</v>
      </c>
      <c r="L1164" s="19" t="e">
        <f>SUMIFS([1]!Motor_Comissão[Valor Previsto],[1]!Motor_Comissão[Chave], tb_Auditoria[[#This Row],[Nº CONTRATO]]&amp;"-"&amp;tb_Auditoria[[#This Row],[PARCELA ATUAL]])</f>
        <v>#REF!</v>
      </c>
      <c r="M1164" s="19" t="e">
        <f>tb_Auditoria[[#This Row],[VALOR PAGO]] - tb_Auditoria[[#This Row],[VALOR ESPERADO]]</f>
        <v>#REF!</v>
      </c>
      <c r="N116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5" spans="1:15">
      <c r="A1165" s="9">
        <v>1156237</v>
      </c>
      <c r="B1165" s="10">
        <v>6</v>
      </c>
      <c r="C1165" s="37">
        <v>4.8640000000000003E-3</v>
      </c>
      <c r="D1165" s="12">
        <f>tb_Auditoria[[#This Row],[% TAXA RELATÓRIO]]*tb_Auditoria[[#This Row],[VALOR CRÉDITO]]</f>
        <v>1357.13834752</v>
      </c>
      <c r="E1165" s="13">
        <v>46161</v>
      </c>
      <c r="F1165" s="13" t="s">
        <v>18</v>
      </c>
      <c r="G116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6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65" s="19">
        <f>IFERROR(INDEX([1]!tb_Vendas[Crédito],MATCH(tb_Auditoria[[#This Row],[Nº CONTRATO]],[1]!tb_Vendas[Nº Contrato],0)),0)</f>
        <v>279016.93</v>
      </c>
      <c r="K1165" s="21">
        <f>IFERROR(tb_Auditoria[[#This Row],[VALOR ESPERADO]] / tb_Auditoria[[#This Row],[VALOR CRÉDITO]], 0)</f>
        <v>0</v>
      </c>
      <c r="L1165" s="19" t="e">
        <f>SUMIFS([1]!Motor_Comissão[Valor Previsto],[1]!Motor_Comissão[Chave], tb_Auditoria[[#This Row],[Nº CONTRATO]]&amp;"-"&amp;tb_Auditoria[[#This Row],[PARCELA ATUAL]])</f>
        <v>#REF!</v>
      </c>
      <c r="M1165" s="19" t="e">
        <f>tb_Auditoria[[#This Row],[VALOR PAGO]] - tb_Auditoria[[#This Row],[VALOR ESPERADO]]</f>
        <v>#REF!</v>
      </c>
      <c r="N116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6" spans="1:15">
      <c r="A1166" s="30">
        <v>1156238</v>
      </c>
      <c r="B1166" s="25">
        <v>1</v>
      </c>
      <c r="C1166" s="37">
        <v>4.8640000000000003E-3</v>
      </c>
      <c r="D1166" s="32">
        <f>tb_Auditoria[[#This Row],[% TAXA RELATÓRIO]]*tb_Auditoria[[#This Row],[VALOR CRÉDITO]]</f>
        <v>1357.13834752</v>
      </c>
      <c r="E1166" s="29">
        <v>46008</v>
      </c>
      <c r="F1166" s="13" t="s">
        <v>18</v>
      </c>
      <c r="G1166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6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66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66" s="23">
        <f>IFERROR(INDEX([1]!tb_Vendas[Crédito],MATCH(tb_Auditoria[[#This Row],[Nº CONTRATO]],[1]!tb_Vendas[Nº Contrato],0)),0)</f>
        <v>279016.93</v>
      </c>
      <c r="K1166" s="22">
        <f>IFERROR(tb_Auditoria[[#This Row],[VALOR ESPERADO]] / tb_Auditoria[[#This Row],[VALOR CRÉDITO]], 0)</f>
        <v>0</v>
      </c>
      <c r="L1166" s="23" t="e">
        <f>SUMIFS([1]!Motor_Comissão[Valor Previsto],[1]!Motor_Comissão[Chave], tb_Auditoria[[#This Row],[Nº CONTRATO]]&amp;"-"&amp;tb_Auditoria[[#This Row],[PARCELA ATUAL]])</f>
        <v>#REF!</v>
      </c>
      <c r="M1166" s="23" t="e">
        <f>tb_Auditoria[[#This Row],[VALOR PAGO]] - tb_Auditoria[[#This Row],[VALOR ESPERADO]]</f>
        <v>#REF!</v>
      </c>
      <c r="N1166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6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7" spans="1:15">
      <c r="A1167" s="9">
        <v>1156238</v>
      </c>
      <c r="B1167" s="10">
        <v>2</v>
      </c>
      <c r="C1167" s="40">
        <v>4.8640000000000003E-3</v>
      </c>
      <c r="D1167" s="12">
        <f>tb_Auditoria[[#This Row],[% TAXA RELATÓRIO]]*tb_Auditoria[[#This Row],[VALOR CRÉDITO]]</f>
        <v>1357.13834752</v>
      </c>
      <c r="E1167" s="13">
        <v>46038</v>
      </c>
      <c r="F1167" s="13" t="s">
        <v>18</v>
      </c>
      <c r="G116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6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67" s="19">
        <f>IFERROR(INDEX([1]!tb_Vendas[Crédito],MATCH(tb_Auditoria[[#This Row],[Nº CONTRATO]],[1]!tb_Vendas[Nº Contrato],0)),0)</f>
        <v>279016.93</v>
      </c>
      <c r="K1167" s="21">
        <f>IFERROR(tb_Auditoria[[#This Row],[VALOR ESPERADO]] / tb_Auditoria[[#This Row],[VALOR CRÉDITO]], 0)</f>
        <v>0</v>
      </c>
      <c r="L1167" s="19" t="e">
        <f>SUMIFS([1]!Motor_Comissão[Valor Previsto],[1]!Motor_Comissão[Chave], tb_Auditoria[[#This Row],[Nº CONTRATO]]&amp;"-"&amp;tb_Auditoria[[#This Row],[PARCELA ATUAL]])</f>
        <v>#REF!</v>
      </c>
      <c r="M1167" s="19" t="e">
        <f>tb_Auditoria[[#This Row],[VALOR PAGO]] - tb_Auditoria[[#This Row],[VALOR ESPERADO]]</f>
        <v>#REF!</v>
      </c>
      <c r="N116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8" spans="1:15">
      <c r="A1168" s="30">
        <v>1156238</v>
      </c>
      <c r="B1168" s="25">
        <v>3</v>
      </c>
      <c r="C1168" s="40">
        <v>4.8640000000000003E-3</v>
      </c>
      <c r="D1168" s="32">
        <f>tb_Auditoria[[#This Row],[% TAXA RELATÓRIO]]*tb_Auditoria[[#This Row],[VALOR CRÉDITO]]</f>
        <v>1357.13834752</v>
      </c>
      <c r="E1168" s="29">
        <v>46072</v>
      </c>
      <c r="F1168" s="29" t="s">
        <v>18</v>
      </c>
      <c r="G1168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8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68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68" s="23">
        <f>IFERROR(INDEX([1]!tb_Vendas[Crédito],MATCH(tb_Auditoria[[#This Row],[Nº CONTRATO]],[1]!tb_Vendas[Nº Contrato],0)),0)</f>
        <v>279016.93</v>
      </c>
      <c r="K1168" s="22">
        <f>IFERROR(tb_Auditoria[[#This Row],[VALOR ESPERADO]] / tb_Auditoria[[#This Row],[VALOR CRÉDITO]], 0)</f>
        <v>0</v>
      </c>
      <c r="L1168" s="23" t="e">
        <f>SUMIFS([1]!Motor_Comissão[Valor Previsto],[1]!Motor_Comissão[Chave], tb_Auditoria[[#This Row],[Nº CONTRATO]]&amp;"-"&amp;tb_Auditoria[[#This Row],[PARCELA ATUAL]])</f>
        <v>#REF!</v>
      </c>
      <c r="M1168" s="23" t="e">
        <f>tb_Auditoria[[#This Row],[VALOR PAGO]] - tb_Auditoria[[#This Row],[VALOR ESPERADO]]</f>
        <v>#REF!</v>
      </c>
      <c r="N1168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8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69" spans="1:15">
      <c r="A1169" s="9">
        <v>1156238</v>
      </c>
      <c r="B1169" s="10">
        <v>4</v>
      </c>
      <c r="C1169" s="37">
        <v>4.8640000000000003E-3</v>
      </c>
      <c r="D1169" s="12">
        <f>tb_Auditoria[[#This Row],[% TAXA RELATÓRIO]]*tb_Auditoria[[#This Row],[VALOR CRÉDITO]]</f>
        <v>1357.13834752</v>
      </c>
      <c r="E1169" s="13">
        <v>46100</v>
      </c>
      <c r="F1169" s="13" t="s">
        <v>18</v>
      </c>
      <c r="G116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6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6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69" s="19">
        <f>IFERROR(INDEX([1]!tb_Vendas[Crédito],MATCH(tb_Auditoria[[#This Row],[Nº CONTRATO]],[1]!tb_Vendas[Nº Contrato],0)),0)</f>
        <v>279016.93</v>
      </c>
      <c r="K1169" s="21">
        <f>IFERROR(tb_Auditoria[[#This Row],[VALOR ESPERADO]] / tb_Auditoria[[#This Row],[VALOR CRÉDITO]], 0)</f>
        <v>0</v>
      </c>
      <c r="L1169" s="19" t="e">
        <f>SUMIFS([1]!Motor_Comissão[Valor Previsto],[1]!Motor_Comissão[Chave], tb_Auditoria[[#This Row],[Nº CONTRATO]]&amp;"-"&amp;tb_Auditoria[[#This Row],[PARCELA ATUAL]])</f>
        <v>#REF!</v>
      </c>
      <c r="M1169" s="19" t="e">
        <f>tb_Auditoria[[#This Row],[VALOR PAGO]] - tb_Auditoria[[#This Row],[VALOR ESPERADO]]</f>
        <v>#REF!</v>
      </c>
      <c r="N116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6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0" spans="1:15">
      <c r="A1170" s="9">
        <v>1156238</v>
      </c>
      <c r="B1170" s="10">
        <v>5</v>
      </c>
      <c r="C1170" s="37">
        <v>4.8640000000000003E-3</v>
      </c>
      <c r="D1170" s="12">
        <f>tb_Auditoria[[#This Row],[% TAXA RELATÓRIO]]*tb_Auditoria[[#This Row],[VALOR CRÉDITO]]</f>
        <v>1357.13834752</v>
      </c>
      <c r="E1170" s="13">
        <v>46129</v>
      </c>
      <c r="F1170" s="13" t="s">
        <v>18</v>
      </c>
      <c r="G117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7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70" s="19">
        <f>IFERROR(INDEX([1]!tb_Vendas[Crédito],MATCH(tb_Auditoria[[#This Row],[Nº CONTRATO]],[1]!tb_Vendas[Nº Contrato],0)),0)</f>
        <v>279016.93</v>
      </c>
      <c r="K1170" s="21">
        <f>IFERROR(tb_Auditoria[[#This Row],[VALOR ESPERADO]] / tb_Auditoria[[#This Row],[VALOR CRÉDITO]], 0)</f>
        <v>0</v>
      </c>
      <c r="L1170" s="19" t="e">
        <f>SUMIFS([1]!Motor_Comissão[Valor Previsto],[1]!Motor_Comissão[Chave], tb_Auditoria[[#This Row],[Nº CONTRATO]]&amp;"-"&amp;tb_Auditoria[[#This Row],[PARCELA ATUAL]])</f>
        <v>#REF!</v>
      </c>
      <c r="M1170" s="19" t="e">
        <f>tb_Auditoria[[#This Row],[VALOR PAGO]] - tb_Auditoria[[#This Row],[VALOR ESPERADO]]</f>
        <v>#REF!</v>
      </c>
      <c r="N117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1" spans="1:15">
      <c r="A1171" s="9">
        <v>1156238</v>
      </c>
      <c r="B1171" s="10">
        <v>6</v>
      </c>
      <c r="C1171" s="37">
        <v>4.8640000000000003E-3</v>
      </c>
      <c r="D1171" s="12">
        <f>tb_Auditoria[[#This Row],[% TAXA RELATÓRIO]]*tb_Auditoria[[#This Row],[VALOR CRÉDITO]]</f>
        <v>1357.13834752</v>
      </c>
      <c r="E1171" s="13">
        <v>46161</v>
      </c>
      <c r="F1171" s="13" t="s">
        <v>18</v>
      </c>
      <c r="G117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7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71" s="19">
        <f>IFERROR(INDEX([1]!tb_Vendas[Crédito],MATCH(tb_Auditoria[[#This Row],[Nº CONTRATO]],[1]!tb_Vendas[Nº Contrato],0)),0)</f>
        <v>279016.93</v>
      </c>
      <c r="K1171" s="21">
        <f>IFERROR(tb_Auditoria[[#This Row],[VALOR ESPERADO]] / tb_Auditoria[[#This Row],[VALOR CRÉDITO]], 0)</f>
        <v>0</v>
      </c>
      <c r="L1171" s="19" t="e">
        <f>SUMIFS([1]!Motor_Comissão[Valor Previsto],[1]!Motor_Comissão[Chave], tb_Auditoria[[#This Row],[Nº CONTRATO]]&amp;"-"&amp;tb_Auditoria[[#This Row],[PARCELA ATUAL]])</f>
        <v>#REF!</v>
      </c>
      <c r="M1171" s="19" t="e">
        <f>tb_Auditoria[[#This Row],[VALOR PAGO]] - tb_Auditoria[[#This Row],[VALOR ESPERADO]]</f>
        <v>#REF!</v>
      </c>
      <c r="N117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2" spans="1:15">
      <c r="A1172" s="9">
        <v>1156239</v>
      </c>
      <c r="B1172" s="10">
        <v>1</v>
      </c>
      <c r="C1172" s="37">
        <v>4.4799999999999996E-3</v>
      </c>
      <c r="D1172" s="12">
        <f>tb_Auditoria[[#This Row],[% TAXA RELATÓRIO]]*tb_Auditoria[[#This Row],[VALOR CRÉDITO]]</f>
        <v>621.91893119999997</v>
      </c>
      <c r="E1172" s="13">
        <v>46008</v>
      </c>
      <c r="F1172" s="13" t="s">
        <v>18</v>
      </c>
      <c r="G117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7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72" s="19">
        <f>IFERROR(INDEX([1]!tb_Vendas[Crédito],MATCH(tb_Auditoria[[#This Row],[Nº CONTRATO]],[1]!tb_Vendas[Nº Contrato],0)),0)</f>
        <v>138821.19</v>
      </c>
      <c r="K1172" s="21">
        <f>IFERROR(tb_Auditoria[[#This Row],[VALOR ESPERADO]] / tb_Auditoria[[#This Row],[VALOR CRÉDITO]], 0)</f>
        <v>0</v>
      </c>
      <c r="L1172" s="19" t="e">
        <f>SUMIFS([1]!Motor_Comissão[Valor Previsto],[1]!Motor_Comissão[Chave], tb_Auditoria[[#This Row],[Nº CONTRATO]]&amp;"-"&amp;tb_Auditoria[[#This Row],[PARCELA ATUAL]])</f>
        <v>#REF!</v>
      </c>
      <c r="M1172" s="19" t="e">
        <f>tb_Auditoria[[#This Row],[VALOR PAGO]] - tb_Auditoria[[#This Row],[VALOR ESPERADO]]</f>
        <v>#REF!</v>
      </c>
      <c r="N117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3" spans="1:15">
      <c r="A1173" s="9">
        <v>1156239</v>
      </c>
      <c r="B1173" s="10">
        <v>2</v>
      </c>
      <c r="C1173" s="37">
        <v>4.4799999999999996E-3</v>
      </c>
      <c r="D1173" s="12">
        <f>tb_Auditoria[[#This Row],[% TAXA RELATÓRIO]]*tb_Auditoria[[#This Row],[VALOR CRÉDITO]]</f>
        <v>621.91893119999997</v>
      </c>
      <c r="E1173" s="13">
        <v>46038</v>
      </c>
      <c r="F1173" s="13" t="s">
        <v>18</v>
      </c>
      <c r="G117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7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73" s="19">
        <f>IFERROR(INDEX([1]!tb_Vendas[Crédito],MATCH(tb_Auditoria[[#This Row],[Nº CONTRATO]],[1]!tb_Vendas[Nº Contrato],0)),0)</f>
        <v>138821.19</v>
      </c>
      <c r="K1173" s="21">
        <f>IFERROR(tb_Auditoria[[#This Row],[VALOR ESPERADO]] / tb_Auditoria[[#This Row],[VALOR CRÉDITO]], 0)</f>
        <v>0</v>
      </c>
      <c r="L1173" s="19" t="e">
        <f>SUMIFS([1]!Motor_Comissão[Valor Previsto],[1]!Motor_Comissão[Chave], tb_Auditoria[[#This Row],[Nº CONTRATO]]&amp;"-"&amp;tb_Auditoria[[#This Row],[PARCELA ATUAL]])</f>
        <v>#REF!</v>
      </c>
      <c r="M1173" s="19" t="e">
        <f>tb_Auditoria[[#This Row],[VALOR PAGO]] - tb_Auditoria[[#This Row],[VALOR ESPERADO]]</f>
        <v>#REF!</v>
      </c>
      <c r="N117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4" spans="1:15">
      <c r="A1174" s="9">
        <v>1156239</v>
      </c>
      <c r="B1174" s="10">
        <v>3</v>
      </c>
      <c r="C1174" s="37">
        <v>4.4799999999999996E-3</v>
      </c>
      <c r="D1174" s="12">
        <f>tb_Auditoria[[#This Row],[% TAXA RELATÓRIO]]*tb_Auditoria[[#This Row],[VALOR CRÉDITO]]</f>
        <v>621.91893119999997</v>
      </c>
      <c r="E1174" s="13">
        <v>46072</v>
      </c>
      <c r="F1174" s="13" t="s">
        <v>18</v>
      </c>
      <c r="G117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7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74" s="19">
        <f>IFERROR(INDEX([1]!tb_Vendas[Crédito],MATCH(tb_Auditoria[[#This Row],[Nº CONTRATO]],[1]!tb_Vendas[Nº Contrato],0)),0)</f>
        <v>138821.19</v>
      </c>
      <c r="K1174" s="21">
        <f>IFERROR(tb_Auditoria[[#This Row],[VALOR ESPERADO]] / tb_Auditoria[[#This Row],[VALOR CRÉDITO]], 0)</f>
        <v>0</v>
      </c>
      <c r="L1174" s="19" t="e">
        <f>SUMIFS([1]!Motor_Comissão[Valor Previsto],[1]!Motor_Comissão[Chave], tb_Auditoria[[#This Row],[Nº CONTRATO]]&amp;"-"&amp;tb_Auditoria[[#This Row],[PARCELA ATUAL]])</f>
        <v>#REF!</v>
      </c>
      <c r="M1174" s="19" t="e">
        <f>tb_Auditoria[[#This Row],[VALOR PAGO]] - tb_Auditoria[[#This Row],[VALOR ESPERADO]]</f>
        <v>#REF!</v>
      </c>
      <c r="N117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5" spans="1:15">
      <c r="A1175" s="9">
        <v>1156239</v>
      </c>
      <c r="B1175" s="10">
        <v>4</v>
      </c>
      <c r="C1175" s="37">
        <v>4.4799999999999996E-3</v>
      </c>
      <c r="D1175" s="12">
        <f>tb_Auditoria[[#This Row],[% TAXA RELATÓRIO]]*tb_Auditoria[[#This Row],[VALOR CRÉDITO]]</f>
        <v>621.91893119999997</v>
      </c>
      <c r="E1175" s="13">
        <v>46100</v>
      </c>
      <c r="F1175" s="13" t="s">
        <v>18</v>
      </c>
      <c r="G117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7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75" s="19">
        <f>IFERROR(INDEX([1]!tb_Vendas[Crédito],MATCH(tb_Auditoria[[#This Row],[Nº CONTRATO]],[1]!tb_Vendas[Nº Contrato],0)),0)</f>
        <v>138821.19</v>
      </c>
      <c r="K1175" s="21">
        <f>IFERROR(tb_Auditoria[[#This Row],[VALOR ESPERADO]] / tb_Auditoria[[#This Row],[VALOR CRÉDITO]], 0)</f>
        <v>0</v>
      </c>
      <c r="L1175" s="19" t="e">
        <f>SUMIFS([1]!Motor_Comissão[Valor Previsto],[1]!Motor_Comissão[Chave], tb_Auditoria[[#This Row],[Nº CONTRATO]]&amp;"-"&amp;tb_Auditoria[[#This Row],[PARCELA ATUAL]])</f>
        <v>#REF!</v>
      </c>
      <c r="M1175" s="19" t="e">
        <f>tb_Auditoria[[#This Row],[VALOR PAGO]] - tb_Auditoria[[#This Row],[VALOR ESPERADO]]</f>
        <v>#REF!</v>
      </c>
      <c r="N117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6" spans="1:15">
      <c r="A1176" s="9">
        <v>1156239</v>
      </c>
      <c r="B1176" s="10">
        <v>5</v>
      </c>
      <c r="C1176" s="37">
        <v>4.4799999999999996E-3</v>
      </c>
      <c r="D1176" s="12">
        <f>tb_Auditoria[[#This Row],[% TAXA RELATÓRIO]]*tb_Auditoria[[#This Row],[VALOR CRÉDITO]]</f>
        <v>621.91893119999997</v>
      </c>
      <c r="E1176" s="13">
        <v>46129</v>
      </c>
      <c r="F1176" s="13" t="s">
        <v>18</v>
      </c>
      <c r="G117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7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76" s="19">
        <f>IFERROR(INDEX([1]!tb_Vendas[Crédito],MATCH(tb_Auditoria[[#This Row],[Nº CONTRATO]],[1]!tb_Vendas[Nº Contrato],0)),0)</f>
        <v>138821.19</v>
      </c>
      <c r="K1176" s="21">
        <f>IFERROR(tb_Auditoria[[#This Row],[VALOR ESPERADO]] / tb_Auditoria[[#This Row],[VALOR CRÉDITO]], 0)</f>
        <v>0</v>
      </c>
      <c r="L1176" s="19" t="e">
        <f>SUMIFS([1]!Motor_Comissão[Valor Previsto],[1]!Motor_Comissão[Chave], tb_Auditoria[[#This Row],[Nº CONTRATO]]&amp;"-"&amp;tb_Auditoria[[#This Row],[PARCELA ATUAL]])</f>
        <v>#REF!</v>
      </c>
      <c r="M1176" s="19" t="e">
        <f>tb_Auditoria[[#This Row],[VALOR PAGO]] - tb_Auditoria[[#This Row],[VALOR ESPERADO]]</f>
        <v>#REF!</v>
      </c>
      <c r="N117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7" spans="1:15">
      <c r="A1177" s="9">
        <v>1156239</v>
      </c>
      <c r="B1177" s="10">
        <v>6</v>
      </c>
      <c r="C1177" s="37">
        <v>4.4799999999999996E-3</v>
      </c>
      <c r="D1177" s="12">
        <f>tb_Auditoria[[#This Row],[% TAXA RELATÓRIO]]*tb_Auditoria[[#This Row],[VALOR CRÉDITO]]</f>
        <v>621.91893119999997</v>
      </c>
      <c r="E1177" s="13">
        <v>46161</v>
      </c>
      <c r="F1177" s="13" t="s">
        <v>18</v>
      </c>
      <c r="G117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7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77" s="19">
        <f>IFERROR(INDEX([1]!tb_Vendas[Crédito],MATCH(tb_Auditoria[[#This Row],[Nº CONTRATO]],[1]!tb_Vendas[Nº Contrato],0)),0)</f>
        <v>138821.19</v>
      </c>
      <c r="K1177" s="21">
        <f>IFERROR(tb_Auditoria[[#This Row],[VALOR ESPERADO]] / tb_Auditoria[[#This Row],[VALOR CRÉDITO]], 0)</f>
        <v>0</v>
      </c>
      <c r="L1177" s="19" t="e">
        <f>SUMIFS([1]!Motor_Comissão[Valor Previsto],[1]!Motor_Comissão[Chave], tb_Auditoria[[#This Row],[Nº CONTRATO]]&amp;"-"&amp;tb_Auditoria[[#This Row],[PARCELA ATUAL]])</f>
        <v>#REF!</v>
      </c>
      <c r="M1177" s="19" t="e">
        <f>tb_Auditoria[[#This Row],[VALOR PAGO]] - tb_Auditoria[[#This Row],[VALOR ESPERADO]]</f>
        <v>#REF!</v>
      </c>
      <c r="N117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8" spans="1:15">
      <c r="A1178" s="9">
        <v>1156242</v>
      </c>
      <c r="B1178" s="10">
        <v>1</v>
      </c>
      <c r="C1178" s="37">
        <v>4.4799999999999996E-3</v>
      </c>
      <c r="D1178" s="12">
        <f>tb_Auditoria[[#This Row],[% TAXA RELATÓRIO]]*tb_Auditoria[[#This Row],[VALOR CRÉDITO]]</f>
        <v>621.91893119999997</v>
      </c>
      <c r="E1178" s="13">
        <v>46008</v>
      </c>
      <c r="F1178" s="13" t="s">
        <v>18</v>
      </c>
      <c r="G117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7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78" s="19">
        <f>IFERROR(INDEX([1]!tb_Vendas[Crédito],MATCH(tb_Auditoria[[#This Row],[Nº CONTRATO]],[1]!tb_Vendas[Nº Contrato],0)),0)</f>
        <v>138821.19</v>
      </c>
      <c r="K1178" s="21">
        <f>IFERROR(tb_Auditoria[[#This Row],[VALOR ESPERADO]] / tb_Auditoria[[#This Row],[VALOR CRÉDITO]], 0)</f>
        <v>0</v>
      </c>
      <c r="L1178" s="19" t="e">
        <f>SUMIFS([1]!Motor_Comissão[Valor Previsto],[1]!Motor_Comissão[Chave], tb_Auditoria[[#This Row],[Nº CONTRATO]]&amp;"-"&amp;tb_Auditoria[[#This Row],[PARCELA ATUAL]])</f>
        <v>#REF!</v>
      </c>
      <c r="M1178" s="19" t="e">
        <f>tb_Auditoria[[#This Row],[VALOR PAGO]] - tb_Auditoria[[#This Row],[VALOR ESPERADO]]</f>
        <v>#REF!</v>
      </c>
      <c r="N117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79" spans="1:15">
      <c r="A1179" s="9">
        <v>1156242</v>
      </c>
      <c r="B1179" s="10">
        <v>2</v>
      </c>
      <c r="C1179" s="37">
        <v>4.4799999999999996E-3</v>
      </c>
      <c r="D1179" s="12">
        <f>tb_Auditoria[[#This Row],[% TAXA RELATÓRIO]]*tb_Auditoria[[#This Row],[VALOR CRÉDITO]]</f>
        <v>621.91893119999997</v>
      </c>
      <c r="E1179" s="13">
        <v>46038</v>
      </c>
      <c r="F1179" s="13" t="s">
        <v>18</v>
      </c>
      <c r="G117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7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7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79" s="19">
        <f>IFERROR(INDEX([1]!tb_Vendas[Crédito],MATCH(tb_Auditoria[[#This Row],[Nº CONTRATO]],[1]!tb_Vendas[Nº Contrato],0)),0)</f>
        <v>138821.19</v>
      </c>
      <c r="K1179" s="21">
        <f>IFERROR(tb_Auditoria[[#This Row],[VALOR ESPERADO]] / tb_Auditoria[[#This Row],[VALOR CRÉDITO]], 0)</f>
        <v>0</v>
      </c>
      <c r="L1179" s="19" t="e">
        <f>SUMIFS([1]!Motor_Comissão[Valor Previsto],[1]!Motor_Comissão[Chave], tb_Auditoria[[#This Row],[Nº CONTRATO]]&amp;"-"&amp;tb_Auditoria[[#This Row],[PARCELA ATUAL]])</f>
        <v>#REF!</v>
      </c>
      <c r="M1179" s="19" t="e">
        <f>tb_Auditoria[[#This Row],[VALOR PAGO]] - tb_Auditoria[[#This Row],[VALOR ESPERADO]]</f>
        <v>#REF!</v>
      </c>
      <c r="N117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7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0" spans="1:15">
      <c r="A1180" s="9">
        <v>1156242</v>
      </c>
      <c r="B1180" s="10">
        <v>3</v>
      </c>
      <c r="C1180" s="37">
        <v>4.4799999999999996E-3</v>
      </c>
      <c r="D1180" s="12">
        <f>tb_Auditoria[[#This Row],[% TAXA RELATÓRIO]]*tb_Auditoria[[#This Row],[VALOR CRÉDITO]]</f>
        <v>621.91893119999997</v>
      </c>
      <c r="E1180" s="13">
        <v>46072</v>
      </c>
      <c r="F1180" s="13" t="s">
        <v>18</v>
      </c>
      <c r="G118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8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80" s="19">
        <f>IFERROR(INDEX([1]!tb_Vendas[Crédito],MATCH(tb_Auditoria[[#This Row],[Nº CONTRATO]],[1]!tb_Vendas[Nº Contrato],0)),0)</f>
        <v>138821.19</v>
      </c>
      <c r="K1180" s="21">
        <f>IFERROR(tb_Auditoria[[#This Row],[VALOR ESPERADO]] / tb_Auditoria[[#This Row],[VALOR CRÉDITO]], 0)</f>
        <v>0</v>
      </c>
      <c r="L1180" s="19" t="e">
        <f>SUMIFS([1]!Motor_Comissão[Valor Previsto],[1]!Motor_Comissão[Chave], tb_Auditoria[[#This Row],[Nº CONTRATO]]&amp;"-"&amp;tb_Auditoria[[#This Row],[PARCELA ATUAL]])</f>
        <v>#REF!</v>
      </c>
      <c r="M1180" s="19" t="e">
        <f>tb_Auditoria[[#This Row],[VALOR PAGO]] - tb_Auditoria[[#This Row],[VALOR ESPERADO]]</f>
        <v>#REF!</v>
      </c>
      <c r="N118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1" spans="1:15">
      <c r="A1181" s="9">
        <v>1156242</v>
      </c>
      <c r="B1181" s="10">
        <v>4</v>
      </c>
      <c r="C1181" s="37">
        <v>4.4799999999999996E-3</v>
      </c>
      <c r="D1181" s="12">
        <f>tb_Auditoria[[#This Row],[% TAXA RELATÓRIO]]*tb_Auditoria[[#This Row],[VALOR CRÉDITO]]</f>
        <v>621.91893119999997</v>
      </c>
      <c r="E1181" s="13">
        <v>46100</v>
      </c>
      <c r="F1181" s="13" t="s">
        <v>18</v>
      </c>
      <c r="G118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8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81" s="19">
        <f>IFERROR(INDEX([1]!tb_Vendas[Crédito],MATCH(tb_Auditoria[[#This Row],[Nº CONTRATO]],[1]!tb_Vendas[Nº Contrato],0)),0)</f>
        <v>138821.19</v>
      </c>
      <c r="K1181" s="21">
        <f>IFERROR(tb_Auditoria[[#This Row],[VALOR ESPERADO]] / tb_Auditoria[[#This Row],[VALOR CRÉDITO]], 0)</f>
        <v>0</v>
      </c>
      <c r="L1181" s="19" t="e">
        <f>SUMIFS([1]!Motor_Comissão[Valor Previsto],[1]!Motor_Comissão[Chave], tb_Auditoria[[#This Row],[Nº CONTRATO]]&amp;"-"&amp;tb_Auditoria[[#This Row],[PARCELA ATUAL]])</f>
        <v>#REF!</v>
      </c>
      <c r="M1181" s="19" t="e">
        <f>tb_Auditoria[[#This Row],[VALOR PAGO]] - tb_Auditoria[[#This Row],[VALOR ESPERADO]]</f>
        <v>#REF!</v>
      </c>
      <c r="N118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2" spans="1:15">
      <c r="A1182" s="9">
        <v>1156242</v>
      </c>
      <c r="B1182" s="10">
        <v>5</v>
      </c>
      <c r="C1182" s="37">
        <v>4.4799999999999996E-3</v>
      </c>
      <c r="D1182" s="12">
        <f>tb_Auditoria[[#This Row],[% TAXA RELATÓRIO]]*tb_Auditoria[[#This Row],[VALOR CRÉDITO]]</f>
        <v>621.91893119999997</v>
      </c>
      <c r="E1182" s="13">
        <v>46129</v>
      </c>
      <c r="F1182" s="13" t="s">
        <v>18</v>
      </c>
      <c r="G118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8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82" s="19">
        <f>IFERROR(INDEX([1]!tb_Vendas[Crédito],MATCH(tb_Auditoria[[#This Row],[Nº CONTRATO]],[1]!tb_Vendas[Nº Contrato],0)),0)</f>
        <v>138821.19</v>
      </c>
      <c r="K1182" s="21">
        <f>IFERROR(tb_Auditoria[[#This Row],[VALOR ESPERADO]] / tb_Auditoria[[#This Row],[VALOR CRÉDITO]], 0)</f>
        <v>0</v>
      </c>
      <c r="L1182" s="19" t="e">
        <f>SUMIFS([1]!Motor_Comissão[Valor Previsto],[1]!Motor_Comissão[Chave], tb_Auditoria[[#This Row],[Nº CONTRATO]]&amp;"-"&amp;tb_Auditoria[[#This Row],[PARCELA ATUAL]])</f>
        <v>#REF!</v>
      </c>
      <c r="M1182" s="19" t="e">
        <f>tb_Auditoria[[#This Row],[VALOR PAGO]] - tb_Auditoria[[#This Row],[VALOR ESPERADO]]</f>
        <v>#REF!</v>
      </c>
      <c r="N118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3" spans="1:15">
      <c r="A1183" s="9">
        <v>1156242</v>
      </c>
      <c r="B1183" s="10">
        <v>6</v>
      </c>
      <c r="C1183" s="37">
        <v>4.4799999999999996E-3</v>
      </c>
      <c r="D1183" s="12">
        <f>tb_Auditoria[[#This Row],[% TAXA RELATÓRIO]]*tb_Auditoria[[#This Row],[VALOR CRÉDITO]]</f>
        <v>621.91893119999997</v>
      </c>
      <c r="E1183" s="13">
        <v>46161</v>
      </c>
      <c r="F1183" s="13" t="s">
        <v>18</v>
      </c>
      <c r="G118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8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83" s="19">
        <f>IFERROR(INDEX([1]!tb_Vendas[Crédito],MATCH(tb_Auditoria[[#This Row],[Nº CONTRATO]],[1]!tb_Vendas[Nº Contrato],0)),0)</f>
        <v>138821.19</v>
      </c>
      <c r="K1183" s="21">
        <f>IFERROR(tb_Auditoria[[#This Row],[VALOR ESPERADO]] / tb_Auditoria[[#This Row],[VALOR CRÉDITO]], 0)</f>
        <v>0</v>
      </c>
      <c r="L1183" s="19" t="e">
        <f>SUMIFS([1]!Motor_Comissão[Valor Previsto],[1]!Motor_Comissão[Chave], tb_Auditoria[[#This Row],[Nº CONTRATO]]&amp;"-"&amp;tb_Auditoria[[#This Row],[PARCELA ATUAL]])</f>
        <v>#REF!</v>
      </c>
      <c r="M1183" s="19" t="e">
        <f>tb_Auditoria[[#This Row],[VALOR PAGO]] - tb_Auditoria[[#This Row],[VALOR ESPERADO]]</f>
        <v>#REF!</v>
      </c>
      <c r="N118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4" spans="1:15">
      <c r="A1184" s="9">
        <v>1156244</v>
      </c>
      <c r="B1184" s="10">
        <v>1</v>
      </c>
      <c r="C1184" s="37">
        <v>5.1200000000000004E-3</v>
      </c>
      <c r="D1184" s="12">
        <f>tb_Auditoria[[#This Row],[% TAXA RELATÓRIO]]*tb_Auditoria[[#This Row],[VALOR CRÉDITO]]</f>
        <v>2153.9307520000002</v>
      </c>
      <c r="E1184" s="13">
        <v>46008</v>
      </c>
      <c r="F1184" s="13" t="s">
        <v>18</v>
      </c>
      <c r="G118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8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84" s="19">
        <f>IFERROR(INDEX([1]!tb_Vendas[Crédito],MATCH(tb_Auditoria[[#This Row],[Nº CONTRATO]],[1]!tb_Vendas[Nº Contrato],0)),0)</f>
        <v>420689.6</v>
      </c>
      <c r="K1184" s="21">
        <f>IFERROR(tb_Auditoria[[#This Row],[VALOR ESPERADO]] / tb_Auditoria[[#This Row],[VALOR CRÉDITO]], 0)</f>
        <v>0</v>
      </c>
      <c r="L1184" s="19" t="e">
        <f>SUMIFS([1]!Motor_Comissão[Valor Previsto],[1]!Motor_Comissão[Chave], tb_Auditoria[[#This Row],[Nº CONTRATO]]&amp;"-"&amp;tb_Auditoria[[#This Row],[PARCELA ATUAL]])</f>
        <v>#REF!</v>
      </c>
      <c r="M1184" s="19" t="e">
        <f>tb_Auditoria[[#This Row],[VALOR PAGO]] - tb_Auditoria[[#This Row],[VALOR ESPERADO]]</f>
        <v>#REF!</v>
      </c>
      <c r="N118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5" spans="1:15">
      <c r="A1185" s="9">
        <v>1156244</v>
      </c>
      <c r="B1185" s="10">
        <v>2</v>
      </c>
      <c r="C1185" s="37">
        <v>5.1200000000000004E-3</v>
      </c>
      <c r="D1185" s="12">
        <f>tb_Auditoria[[#This Row],[% TAXA RELATÓRIO]]*tb_Auditoria[[#This Row],[VALOR CRÉDITO]]</f>
        <v>2153.9307520000002</v>
      </c>
      <c r="E1185" s="13">
        <v>46038</v>
      </c>
      <c r="F1185" s="13" t="s">
        <v>18</v>
      </c>
      <c r="G118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8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85" s="19">
        <f>IFERROR(INDEX([1]!tb_Vendas[Crédito],MATCH(tb_Auditoria[[#This Row],[Nº CONTRATO]],[1]!tb_Vendas[Nº Contrato],0)),0)</f>
        <v>420689.6</v>
      </c>
      <c r="K1185" s="21">
        <f>IFERROR(tb_Auditoria[[#This Row],[VALOR ESPERADO]] / tb_Auditoria[[#This Row],[VALOR CRÉDITO]], 0)</f>
        <v>0</v>
      </c>
      <c r="L1185" s="19" t="e">
        <f>SUMIFS([1]!Motor_Comissão[Valor Previsto],[1]!Motor_Comissão[Chave], tb_Auditoria[[#This Row],[Nº CONTRATO]]&amp;"-"&amp;tb_Auditoria[[#This Row],[PARCELA ATUAL]])</f>
        <v>#REF!</v>
      </c>
      <c r="M1185" s="19" t="e">
        <f>tb_Auditoria[[#This Row],[VALOR PAGO]] - tb_Auditoria[[#This Row],[VALOR ESPERADO]]</f>
        <v>#REF!</v>
      </c>
      <c r="N118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6" spans="1:15">
      <c r="A1186" s="9">
        <v>1156244</v>
      </c>
      <c r="B1186" s="10">
        <v>3</v>
      </c>
      <c r="C1186" s="37">
        <v>5.1200000000000004E-3</v>
      </c>
      <c r="D1186" s="12">
        <f>tb_Auditoria[[#This Row],[% TAXA RELATÓRIO]]*tb_Auditoria[[#This Row],[VALOR CRÉDITO]]</f>
        <v>2153.9307520000002</v>
      </c>
      <c r="E1186" s="13">
        <v>46072</v>
      </c>
      <c r="F1186" s="13" t="s">
        <v>18</v>
      </c>
      <c r="G118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8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86" s="19">
        <f>IFERROR(INDEX([1]!tb_Vendas[Crédito],MATCH(tb_Auditoria[[#This Row],[Nº CONTRATO]],[1]!tb_Vendas[Nº Contrato],0)),0)</f>
        <v>420689.6</v>
      </c>
      <c r="K1186" s="21">
        <f>IFERROR(tb_Auditoria[[#This Row],[VALOR ESPERADO]] / tb_Auditoria[[#This Row],[VALOR CRÉDITO]], 0)</f>
        <v>0</v>
      </c>
      <c r="L1186" s="19" t="e">
        <f>SUMIFS([1]!Motor_Comissão[Valor Previsto],[1]!Motor_Comissão[Chave], tb_Auditoria[[#This Row],[Nº CONTRATO]]&amp;"-"&amp;tb_Auditoria[[#This Row],[PARCELA ATUAL]])</f>
        <v>#REF!</v>
      </c>
      <c r="M1186" s="19" t="e">
        <f>tb_Auditoria[[#This Row],[VALOR PAGO]] - tb_Auditoria[[#This Row],[VALOR ESPERADO]]</f>
        <v>#REF!</v>
      </c>
      <c r="N118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7" spans="1:15">
      <c r="A1187" s="9">
        <v>1156244</v>
      </c>
      <c r="B1187" s="10">
        <v>4</v>
      </c>
      <c r="C1187" s="37">
        <v>5.1200000000000004E-3</v>
      </c>
      <c r="D1187" s="12">
        <f>tb_Auditoria[[#This Row],[% TAXA RELATÓRIO]]*tb_Auditoria[[#This Row],[VALOR CRÉDITO]]</f>
        <v>2153.9307520000002</v>
      </c>
      <c r="E1187" s="13">
        <v>46100</v>
      </c>
      <c r="F1187" s="13" t="s">
        <v>18</v>
      </c>
      <c r="G118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8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87" s="19">
        <f>IFERROR(INDEX([1]!tb_Vendas[Crédito],MATCH(tb_Auditoria[[#This Row],[Nº CONTRATO]],[1]!tb_Vendas[Nº Contrato],0)),0)</f>
        <v>420689.6</v>
      </c>
      <c r="K1187" s="21">
        <f>IFERROR(tb_Auditoria[[#This Row],[VALOR ESPERADO]] / tb_Auditoria[[#This Row],[VALOR CRÉDITO]], 0)</f>
        <v>0</v>
      </c>
      <c r="L1187" s="19" t="e">
        <f>SUMIFS([1]!Motor_Comissão[Valor Previsto],[1]!Motor_Comissão[Chave], tb_Auditoria[[#This Row],[Nº CONTRATO]]&amp;"-"&amp;tb_Auditoria[[#This Row],[PARCELA ATUAL]])</f>
        <v>#REF!</v>
      </c>
      <c r="M1187" s="19" t="e">
        <f>tb_Auditoria[[#This Row],[VALOR PAGO]] - tb_Auditoria[[#This Row],[VALOR ESPERADO]]</f>
        <v>#REF!</v>
      </c>
      <c r="N118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8" spans="1:15">
      <c r="A1188" s="9">
        <v>1156244</v>
      </c>
      <c r="B1188" s="10">
        <v>5</v>
      </c>
      <c r="C1188" s="37">
        <v>5.1200000000000004E-3</v>
      </c>
      <c r="D1188" s="12">
        <f>tb_Auditoria[[#This Row],[% TAXA RELATÓRIO]]*tb_Auditoria[[#This Row],[VALOR CRÉDITO]]</f>
        <v>2153.9307520000002</v>
      </c>
      <c r="E1188" s="13">
        <v>46129</v>
      </c>
      <c r="F1188" s="13" t="s">
        <v>18</v>
      </c>
      <c r="G118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8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88" s="19">
        <f>IFERROR(INDEX([1]!tb_Vendas[Crédito],MATCH(tb_Auditoria[[#This Row],[Nº CONTRATO]],[1]!tb_Vendas[Nº Contrato],0)),0)</f>
        <v>420689.6</v>
      </c>
      <c r="K1188" s="21">
        <f>IFERROR(tb_Auditoria[[#This Row],[VALOR ESPERADO]] / tb_Auditoria[[#This Row],[VALOR CRÉDITO]], 0)</f>
        <v>0</v>
      </c>
      <c r="L1188" s="19" t="e">
        <f>SUMIFS([1]!Motor_Comissão[Valor Previsto],[1]!Motor_Comissão[Chave], tb_Auditoria[[#This Row],[Nº CONTRATO]]&amp;"-"&amp;tb_Auditoria[[#This Row],[PARCELA ATUAL]])</f>
        <v>#REF!</v>
      </c>
      <c r="M1188" s="19" t="e">
        <f>tb_Auditoria[[#This Row],[VALOR PAGO]] - tb_Auditoria[[#This Row],[VALOR ESPERADO]]</f>
        <v>#REF!</v>
      </c>
      <c r="N118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89" spans="1:15">
      <c r="A1189" s="9">
        <v>1156244</v>
      </c>
      <c r="B1189" s="10">
        <v>6</v>
      </c>
      <c r="C1189" s="37">
        <v>5.1200000000000004E-3</v>
      </c>
      <c r="D1189" s="12">
        <f>tb_Auditoria[[#This Row],[% TAXA RELATÓRIO]]*tb_Auditoria[[#This Row],[VALOR CRÉDITO]]</f>
        <v>2153.9307520000002</v>
      </c>
      <c r="E1189" s="13">
        <v>46161</v>
      </c>
      <c r="F1189" s="13" t="s">
        <v>18</v>
      </c>
      <c r="G118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8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8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89" s="19">
        <f>IFERROR(INDEX([1]!tb_Vendas[Crédito],MATCH(tb_Auditoria[[#This Row],[Nº CONTRATO]],[1]!tb_Vendas[Nº Contrato],0)),0)</f>
        <v>420689.6</v>
      </c>
      <c r="K1189" s="21">
        <f>IFERROR(tb_Auditoria[[#This Row],[VALOR ESPERADO]] / tb_Auditoria[[#This Row],[VALOR CRÉDITO]], 0)</f>
        <v>0</v>
      </c>
      <c r="L1189" s="19" t="e">
        <f>SUMIFS([1]!Motor_Comissão[Valor Previsto],[1]!Motor_Comissão[Chave], tb_Auditoria[[#This Row],[Nº CONTRATO]]&amp;"-"&amp;tb_Auditoria[[#This Row],[PARCELA ATUAL]])</f>
        <v>#REF!</v>
      </c>
      <c r="M1189" s="19" t="e">
        <f>tb_Auditoria[[#This Row],[VALOR PAGO]] - tb_Auditoria[[#This Row],[VALOR ESPERADO]]</f>
        <v>#REF!</v>
      </c>
      <c r="N118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8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0" spans="1:15">
      <c r="A1190" s="9">
        <v>1156246</v>
      </c>
      <c r="B1190" s="10">
        <v>1</v>
      </c>
      <c r="C1190" s="37">
        <v>5.1200000000000004E-3</v>
      </c>
      <c r="D1190" s="12">
        <f>tb_Auditoria[[#This Row],[% TAXA RELATÓRIO]]*tb_Auditoria[[#This Row],[VALOR CRÉDITO]]</f>
        <v>2153.9307520000002</v>
      </c>
      <c r="E1190" s="13">
        <v>46008</v>
      </c>
      <c r="F1190" s="13" t="s">
        <v>18</v>
      </c>
      <c r="G119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9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90" s="19">
        <f>IFERROR(INDEX([1]!tb_Vendas[Crédito],MATCH(tb_Auditoria[[#This Row],[Nº CONTRATO]],[1]!tb_Vendas[Nº Contrato],0)),0)</f>
        <v>420689.6</v>
      </c>
      <c r="K1190" s="21">
        <f>IFERROR(tb_Auditoria[[#This Row],[VALOR ESPERADO]] / tb_Auditoria[[#This Row],[VALOR CRÉDITO]], 0)</f>
        <v>0</v>
      </c>
      <c r="L1190" s="19" t="e">
        <f>SUMIFS([1]!Motor_Comissão[Valor Previsto],[1]!Motor_Comissão[Chave], tb_Auditoria[[#This Row],[Nº CONTRATO]]&amp;"-"&amp;tb_Auditoria[[#This Row],[PARCELA ATUAL]])</f>
        <v>#REF!</v>
      </c>
      <c r="M1190" s="19" t="e">
        <f>tb_Auditoria[[#This Row],[VALOR PAGO]] - tb_Auditoria[[#This Row],[VALOR ESPERADO]]</f>
        <v>#REF!</v>
      </c>
      <c r="N119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1" spans="1:15">
      <c r="A1191" s="9">
        <v>1156246</v>
      </c>
      <c r="B1191" s="10">
        <v>2</v>
      </c>
      <c r="C1191" s="37">
        <v>5.1200000000000004E-3</v>
      </c>
      <c r="D1191" s="12">
        <f>tb_Auditoria[[#This Row],[% TAXA RELATÓRIO]]*tb_Auditoria[[#This Row],[VALOR CRÉDITO]]</f>
        <v>2153.9307520000002</v>
      </c>
      <c r="E1191" s="13">
        <v>46038</v>
      </c>
      <c r="F1191" s="13" t="s">
        <v>18</v>
      </c>
      <c r="G119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9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91" s="19">
        <f>IFERROR(INDEX([1]!tb_Vendas[Crédito],MATCH(tb_Auditoria[[#This Row],[Nº CONTRATO]],[1]!tb_Vendas[Nº Contrato],0)),0)</f>
        <v>420689.6</v>
      </c>
      <c r="K1191" s="21">
        <f>IFERROR(tb_Auditoria[[#This Row],[VALOR ESPERADO]] / tb_Auditoria[[#This Row],[VALOR CRÉDITO]], 0)</f>
        <v>0</v>
      </c>
      <c r="L1191" s="19" t="e">
        <f>SUMIFS([1]!Motor_Comissão[Valor Previsto],[1]!Motor_Comissão[Chave], tb_Auditoria[[#This Row],[Nº CONTRATO]]&amp;"-"&amp;tb_Auditoria[[#This Row],[PARCELA ATUAL]])</f>
        <v>#REF!</v>
      </c>
      <c r="M1191" s="19" t="e">
        <f>tb_Auditoria[[#This Row],[VALOR PAGO]] - tb_Auditoria[[#This Row],[VALOR ESPERADO]]</f>
        <v>#REF!</v>
      </c>
      <c r="N119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2" spans="1:15">
      <c r="A1192" s="9">
        <v>1156246</v>
      </c>
      <c r="B1192" s="10">
        <v>3</v>
      </c>
      <c r="C1192" s="37">
        <v>5.1200000000000004E-3</v>
      </c>
      <c r="D1192" s="12">
        <f>tb_Auditoria[[#This Row],[% TAXA RELATÓRIO]]*tb_Auditoria[[#This Row],[VALOR CRÉDITO]]</f>
        <v>2153.9307520000002</v>
      </c>
      <c r="E1192" s="13">
        <v>46072</v>
      </c>
      <c r="F1192" s="13" t="s">
        <v>18</v>
      </c>
      <c r="G119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9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92" s="19">
        <f>IFERROR(INDEX([1]!tb_Vendas[Crédito],MATCH(tb_Auditoria[[#This Row],[Nº CONTRATO]],[1]!tb_Vendas[Nº Contrato],0)),0)</f>
        <v>420689.6</v>
      </c>
      <c r="K1192" s="21">
        <f>IFERROR(tb_Auditoria[[#This Row],[VALOR ESPERADO]] / tb_Auditoria[[#This Row],[VALOR CRÉDITO]], 0)</f>
        <v>0</v>
      </c>
      <c r="L1192" s="19" t="e">
        <f>SUMIFS([1]!Motor_Comissão[Valor Previsto],[1]!Motor_Comissão[Chave], tb_Auditoria[[#This Row],[Nº CONTRATO]]&amp;"-"&amp;tb_Auditoria[[#This Row],[PARCELA ATUAL]])</f>
        <v>#REF!</v>
      </c>
      <c r="M1192" s="19" t="e">
        <f>tb_Auditoria[[#This Row],[VALOR PAGO]] - tb_Auditoria[[#This Row],[VALOR ESPERADO]]</f>
        <v>#REF!</v>
      </c>
      <c r="N119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3" spans="1:15">
      <c r="A1193" s="9">
        <v>1156246</v>
      </c>
      <c r="B1193" s="10">
        <v>4</v>
      </c>
      <c r="C1193" s="37">
        <v>5.1200000000000004E-3</v>
      </c>
      <c r="D1193" s="12">
        <f>tb_Auditoria[[#This Row],[% TAXA RELATÓRIO]]*tb_Auditoria[[#This Row],[VALOR CRÉDITO]]</f>
        <v>2153.9307520000002</v>
      </c>
      <c r="E1193" s="13">
        <v>46100</v>
      </c>
      <c r="F1193" s="13" t="s">
        <v>18</v>
      </c>
      <c r="G119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9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93" s="19">
        <f>IFERROR(INDEX([1]!tb_Vendas[Crédito],MATCH(tb_Auditoria[[#This Row],[Nº CONTRATO]],[1]!tb_Vendas[Nº Contrato],0)),0)</f>
        <v>420689.6</v>
      </c>
      <c r="K1193" s="21">
        <f>IFERROR(tb_Auditoria[[#This Row],[VALOR ESPERADO]] / tb_Auditoria[[#This Row],[VALOR CRÉDITO]], 0)</f>
        <v>0</v>
      </c>
      <c r="L1193" s="19" t="e">
        <f>SUMIFS([1]!Motor_Comissão[Valor Previsto],[1]!Motor_Comissão[Chave], tb_Auditoria[[#This Row],[Nº CONTRATO]]&amp;"-"&amp;tb_Auditoria[[#This Row],[PARCELA ATUAL]])</f>
        <v>#REF!</v>
      </c>
      <c r="M1193" s="19" t="e">
        <f>tb_Auditoria[[#This Row],[VALOR PAGO]] - tb_Auditoria[[#This Row],[VALOR ESPERADO]]</f>
        <v>#REF!</v>
      </c>
      <c r="N119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4" spans="1:15">
      <c r="A1194" s="9">
        <v>1156246</v>
      </c>
      <c r="B1194" s="10">
        <v>5</v>
      </c>
      <c r="C1194" s="37">
        <v>5.1200000000000004E-3</v>
      </c>
      <c r="D1194" s="12">
        <f>tb_Auditoria[[#This Row],[% TAXA RELATÓRIO]]*tb_Auditoria[[#This Row],[VALOR CRÉDITO]]</f>
        <v>2153.9307520000002</v>
      </c>
      <c r="E1194" s="13">
        <v>46129</v>
      </c>
      <c r="F1194" s="13" t="s">
        <v>18</v>
      </c>
      <c r="G119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9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94" s="19">
        <f>IFERROR(INDEX([1]!tb_Vendas[Crédito],MATCH(tb_Auditoria[[#This Row],[Nº CONTRATO]],[1]!tb_Vendas[Nº Contrato],0)),0)</f>
        <v>420689.6</v>
      </c>
      <c r="K1194" s="21">
        <f>IFERROR(tb_Auditoria[[#This Row],[VALOR ESPERADO]] / tb_Auditoria[[#This Row],[VALOR CRÉDITO]], 0)</f>
        <v>0</v>
      </c>
      <c r="L1194" s="19" t="e">
        <f>SUMIFS([1]!Motor_Comissão[Valor Previsto],[1]!Motor_Comissão[Chave], tb_Auditoria[[#This Row],[Nº CONTRATO]]&amp;"-"&amp;tb_Auditoria[[#This Row],[PARCELA ATUAL]])</f>
        <v>#REF!</v>
      </c>
      <c r="M1194" s="19" t="e">
        <f>tb_Auditoria[[#This Row],[VALOR PAGO]] - tb_Auditoria[[#This Row],[VALOR ESPERADO]]</f>
        <v>#REF!</v>
      </c>
      <c r="N119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5" spans="1:15">
      <c r="A1195" s="9">
        <v>1156246</v>
      </c>
      <c r="B1195" s="10">
        <v>6</v>
      </c>
      <c r="C1195" s="37">
        <v>5.1200000000000004E-3</v>
      </c>
      <c r="D1195" s="12">
        <f>tb_Auditoria[[#This Row],[% TAXA RELATÓRIO]]*tb_Auditoria[[#This Row],[VALOR CRÉDITO]]</f>
        <v>2153.9307520000002</v>
      </c>
      <c r="E1195" s="13">
        <v>46161</v>
      </c>
      <c r="F1195" s="13" t="s">
        <v>18</v>
      </c>
      <c r="G119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9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95" s="19">
        <f>IFERROR(INDEX([1]!tb_Vendas[Crédito],MATCH(tb_Auditoria[[#This Row],[Nº CONTRATO]],[1]!tb_Vendas[Nº Contrato],0)),0)</f>
        <v>420689.6</v>
      </c>
      <c r="K1195" s="21">
        <f>IFERROR(tb_Auditoria[[#This Row],[VALOR ESPERADO]] / tb_Auditoria[[#This Row],[VALOR CRÉDITO]], 0)</f>
        <v>0</v>
      </c>
      <c r="L1195" s="19" t="e">
        <f>SUMIFS([1]!Motor_Comissão[Valor Previsto],[1]!Motor_Comissão[Chave], tb_Auditoria[[#This Row],[Nº CONTRATO]]&amp;"-"&amp;tb_Auditoria[[#This Row],[PARCELA ATUAL]])</f>
        <v>#REF!</v>
      </c>
      <c r="M1195" s="19" t="e">
        <f>tb_Auditoria[[#This Row],[VALOR PAGO]] - tb_Auditoria[[#This Row],[VALOR ESPERADO]]</f>
        <v>#REF!</v>
      </c>
      <c r="N119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6" spans="1:15">
      <c r="A1196" s="9">
        <v>1156248</v>
      </c>
      <c r="B1196" s="10">
        <v>1</v>
      </c>
      <c r="C1196" s="37">
        <v>4.8640000000000003E-3</v>
      </c>
      <c r="D1196" s="12">
        <f>tb_Auditoria[[#This Row],[% TAXA RELATÓRIO]]*tb_Auditoria[[#This Row],[VALOR CRÉDITO]]</f>
        <v>1459.2</v>
      </c>
      <c r="E1196" s="13">
        <v>46008</v>
      </c>
      <c r="F1196" s="13" t="s">
        <v>18</v>
      </c>
      <c r="G119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9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96" s="19">
        <f>IFERROR(INDEX([1]!tb_Vendas[Crédito],MATCH(tb_Auditoria[[#This Row],[Nº CONTRATO]],[1]!tb_Vendas[Nº Contrato],0)),0)</f>
        <v>300000</v>
      </c>
      <c r="K1196" s="21">
        <f>IFERROR(tb_Auditoria[[#This Row],[VALOR ESPERADO]] / tb_Auditoria[[#This Row],[VALOR CRÉDITO]], 0)</f>
        <v>0</v>
      </c>
      <c r="L1196" s="19" t="e">
        <f>SUMIFS([1]!Motor_Comissão[Valor Previsto],[1]!Motor_Comissão[Chave], tb_Auditoria[[#This Row],[Nº CONTRATO]]&amp;"-"&amp;tb_Auditoria[[#This Row],[PARCELA ATUAL]])</f>
        <v>#REF!</v>
      </c>
      <c r="M1196" s="19" t="e">
        <f>tb_Auditoria[[#This Row],[VALOR PAGO]] - tb_Auditoria[[#This Row],[VALOR ESPERADO]]</f>
        <v>#REF!</v>
      </c>
      <c r="N119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7" spans="1:15">
      <c r="A1197" s="9">
        <v>1156248</v>
      </c>
      <c r="B1197" s="10">
        <v>2</v>
      </c>
      <c r="C1197" s="37">
        <v>4.8640000000000003E-3</v>
      </c>
      <c r="D1197" s="12">
        <f>tb_Auditoria[[#This Row],[% TAXA RELATÓRIO]]*tb_Auditoria[[#This Row],[VALOR CRÉDITO]]</f>
        <v>1459.2</v>
      </c>
      <c r="E1197" s="13">
        <v>46038</v>
      </c>
      <c r="F1197" s="13" t="s">
        <v>18</v>
      </c>
      <c r="G119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9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97" s="19">
        <f>IFERROR(INDEX([1]!tb_Vendas[Crédito],MATCH(tb_Auditoria[[#This Row],[Nº CONTRATO]],[1]!tb_Vendas[Nº Contrato],0)),0)</f>
        <v>300000</v>
      </c>
      <c r="K1197" s="21">
        <f>IFERROR(tb_Auditoria[[#This Row],[VALOR ESPERADO]] / tb_Auditoria[[#This Row],[VALOR CRÉDITO]], 0)</f>
        <v>0</v>
      </c>
      <c r="L1197" s="19" t="e">
        <f>SUMIFS([1]!Motor_Comissão[Valor Previsto],[1]!Motor_Comissão[Chave], tb_Auditoria[[#This Row],[Nº CONTRATO]]&amp;"-"&amp;tb_Auditoria[[#This Row],[PARCELA ATUAL]])</f>
        <v>#REF!</v>
      </c>
      <c r="M1197" s="19" t="e">
        <f>tb_Auditoria[[#This Row],[VALOR PAGO]] - tb_Auditoria[[#This Row],[VALOR ESPERADO]]</f>
        <v>#REF!</v>
      </c>
      <c r="N119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8" spans="1:15">
      <c r="A1198" s="9">
        <v>1156248</v>
      </c>
      <c r="B1198" s="10">
        <v>3</v>
      </c>
      <c r="C1198" s="37">
        <v>4.8640000000000003E-3</v>
      </c>
      <c r="D1198" s="12">
        <f>tb_Auditoria[[#This Row],[% TAXA RELATÓRIO]]*tb_Auditoria[[#This Row],[VALOR CRÉDITO]]</f>
        <v>1459.2</v>
      </c>
      <c r="E1198" s="13">
        <v>46072</v>
      </c>
      <c r="F1198" s="13" t="s">
        <v>18</v>
      </c>
      <c r="G119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9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98" s="19">
        <f>IFERROR(INDEX([1]!tb_Vendas[Crédito],MATCH(tb_Auditoria[[#This Row],[Nº CONTRATO]],[1]!tb_Vendas[Nº Contrato],0)),0)</f>
        <v>300000</v>
      </c>
      <c r="K1198" s="21">
        <f>IFERROR(tb_Auditoria[[#This Row],[VALOR ESPERADO]] / tb_Auditoria[[#This Row],[VALOR CRÉDITO]], 0)</f>
        <v>0</v>
      </c>
      <c r="L1198" s="19" t="e">
        <f>SUMIFS([1]!Motor_Comissão[Valor Previsto],[1]!Motor_Comissão[Chave], tb_Auditoria[[#This Row],[Nº CONTRATO]]&amp;"-"&amp;tb_Auditoria[[#This Row],[PARCELA ATUAL]])</f>
        <v>#REF!</v>
      </c>
      <c r="M1198" s="19" t="e">
        <f>tb_Auditoria[[#This Row],[VALOR PAGO]] - tb_Auditoria[[#This Row],[VALOR ESPERADO]]</f>
        <v>#REF!</v>
      </c>
      <c r="N119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199" spans="1:15">
      <c r="A1199" s="9">
        <v>1156248</v>
      </c>
      <c r="B1199" s="10">
        <v>4</v>
      </c>
      <c r="C1199" s="37">
        <v>4.8640000000000003E-3</v>
      </c>
      <c r="D1199" s="12">
        <f>tb_Auditoria[[#This Row],[% TAXA RELATÓRIO]]*tb_Auditoria[[#This Row],[VALOR CRÉDITO]]</f>
        <v>1459.2</v>
      </c>
      <c r="E1199" s="13">
        <v>46100</v>
      </c>
      <c r="F1199" s="13" t="s">
        <v>18</v>
      </c>
      <c r="G119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19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19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199" s="19">
        <f>IFERROR(INDEX([1]!tb_Vendas[Crédito],MATCH(tb_Auditoria[[#This Row],[Nº CONTRATO]],[1]!tb_Vendas[Nº Contrato],0)),0)</f>
        <v>300000</v>
      </c>
      <c r="K1199" s="21">
        <f>IFERROR(tb_Auditoria[[#This Row],[VALOR ESPERADO]] / tb_Auditoria[[#This Row],[VALOR CRÉDITO]], 0)</f>
        <v>0</v>
      </c>
      <c r="L1199" s="19" t="e">
        <f>SUMIFS([1]!Motor_Comissão[Valor Previsto],[1]!Motor_Comissão[Chave], tb_Auditoria[[#This Row],[Nº CONTRATO]]&amp;"-"&amp;tb_Auditoria[[#This Row],[PARCELA ATUAL]])</f>
        <v>#REF!</v>
      </c>
      <c r="M1199" s="19" t="e">
        <f>tb_Auditoria[[#This Row],[VALOR PAGO]] - tb_Auditoria[[#This Row],[VALOR ESPERADO]]</f>
        <v>#REF!</v>
      </c>
      <c r="N119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19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0" spans="1:15">
      <c r="A1200" s="9">
        <v>1156248</v>
      </c>
      <c r="B1200" s="10">
        <v>5</v>
      </c>
      <c r="C1200" s="37">
        <v>4.8640000000000003E-3</v>
      </c>
      <c r="D1200" s="12">
        <f>tb_Auditoria[[#This Row],[% TAXA RELATÓRIO]]*tb_Auditoria[[#This Row],[VALOR CRÉDITO]]</f>
        <v>1459.2</v>
      </c>
      <c r="E1200" s="13">
        <v>46129</v>
      </c>
      <c r="F1200" s="13" t="s">
        <v>18</v>
      </c>
      <c r="G120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0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00" s="19">
        <f>IFERROR(INDEX([1]!tb_Vendas[Crédito],MATCH(tb_Auditoria[[#This Row],[Nº CONTRATO]],[1]!tb_Vendas[Nº Contrato],0)),0)</f>
        <v>300000</v>
      </c>
      <c r="K1200" s="21">
        <f>IFERROR(tb_Auditoria[[#This Row],[VALOR ESPERADO]] / tb_Auditoria[[#This Row],[VALOR CRÉDITO]], 0)</f>
        <v>0</v>
      </c>
      <c r="L1200" s="19" t="e">
        <f>SUMIFS([1]!Motor_Comissão[Valor Previsto],[1]!Motor_Comissão[Chave], tb_Auditoria[[#This Row],[Nº CONTRATO]]&amp;"-"&amp;tb_Auditoria[[#This Row],[PARCELA ATUAL]])</f>
        <v>#REF!</v>
      </c>
      <c r="M1200" s="19" t="e">
        <f>tb_Auditoria[[#This Row],[VALOR PAGO]] - tb_Auditoria[[#This Row],[VALOR ESPERADO]]</f>
        <v>#REF!</v>
      </c>
      <c r="N120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1" spans="1:15">
      <c r="A1201" s="9">
        <v>1156248</v>
      </c>
      <c r="B1201" s="10">
        <v>6</v>
      </c>
      <c r="C1201" s="37">
        <v>4.8640000000000003E-3</v>
      </c>
      <c r="D1201" s="12">
        <f>tb_Auditoria[[#This Row],[% TAXA RELATÓRIO]]*tb_Auditoria[[#This Row],[VALOR CRÉDITO]]</f>
        <v>1459.2</v>
      </c>
      <c r="E1201" s="13">
        <v>46161</v>
      </c>
      <c r="F1201" s="13" t="s">
        <v>18</v>
      </c>
      <c r="G120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0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01" s="19">
        <f>IFERROR(INDEX([1]!tb_Vendas[Crédito],MATCH(tb_Auditoria[[#This Row],[Nº CONTRATO]],[1]!tb_Vendas[Nº Contrato],0)),0)</f>
        <v>300000</v>
      </c>
      <c r="K1201" s="21">
        <f>IFERROR(tb_Auditoria[[#This Row],[VALOR ESPERADO]] / tb_Auditoria[[#This Row],[VALOR CRÉDITO]], 0)</f>
        <v>0</v>
      </c>
      <c r="L1201" s="19" t="e">
        <f>SUMIFS([1]!Motor_Comissão[Valor Previsto],[1]!Motor_Comissão[Chave], tb_Auditoria[[#This Row],[Nº CONTRATO]]&amp;"-"&amp;tb_Auditoria[[#This Row],[PARCELA ATUAL]])</f>
        <v>#REF!</v>
      </c>
      <c r="M1201" s="19" t="e">
        <f>tb_Auditoria[[#This Row],[VALOR PAGO]] - tb_Auditoria[[#This Row],[VALOR ESPERADO]]</f>
        <v>#REF!</v>
      </c>
      <c r="N120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2" spans="1:15">
      <c r="A1202" s="9">
        <v>1156251</v>
      </c>
      <c r="B1202" s="10">
        <v>1</v>
      </c>
      <c r="C1202" s="37">
        <v>4.8640000000000003E-3</v>
      </c>
      <c r="D1202" s="12">
        <f>tb_Auditoria[[#This Row],[% TAXA RELATÓRIO]]*tb_Auditoria[[#This Row],[VALOR CRÉDITO]]</f>
        <v>1459.2</v>
      </c>
      <c r="E1202" s="13">
        <v>46008</v>
      </c>
      <c r="F1202" s="13" t="s">
        <v>18</v>
      </c>
      <c r="G120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0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02" s="19">
        <f>IFERROR(INDEX([1]!tb_Vendas[Crédito],MATCH(tb_Auditoria[[#This Row],[Nº CONTRATO]],[1]!tb_Vendas[Nº Contrato],0)),0)</f>
        <v>300000</v>
      </c>
      <c r="K1202" s="21">
        <f>IFERROR(tb_Auditoria[[#This Row],[VALOR ESPERADO]] / tb_Auditoria[[#This Row],[VALOR CRÉDITO]], 0)</f>
        <v>0</v>
      </c>
      <c r="L1202" s="19" t="e">
        <f>SUMIFS([1]!Motor_Comissão[Valor Previsto],[1]!Motor_Comissão[Chave], tb_Auditoria[[#This Row],[Nº CONTRATO]]&amp;"-"&amp;tb_Auditoria[[#This Row],[PARCELA ATUAL]])</f>
        <v>#REF!</v>
      </c>
      <c r="M1202" s="19" t="e">
        <f>tb_Auditoria[[#This Row],[VALOR PAGO]] - tb_Auditoria[[#This Row],[VALOR ESPERADO]]</f>
        <v>#REF!</v>
      </c>
      <c r="N120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3" spans="1:15">
      <c r="A1203" s="9">
        <v>1156251</v>
      </c>
      <c r="B1203" s="10">
        <v>2</v>
      </c>
      <c r="C1203" s="37">
        <v>4.8640000000000003E-3</v>
      </c>
      <c r="D1203" s="12">
        <f>tb_Auditoria[[#This Row],[% TAXA RELATÓRIO]]*tb_Auditoria[[#This Row],[VALOR CRÉDITO]]</f>
        <v>1459.2</v>
      </c>
      <c r="E1203" s="13">
        <v>46038</v>
      </c>
      <c r="F1203" s="13" t="s">
        <v>18</v>
      </c>
      <c r="G120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0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03" s="19">
        <f>IFERROR(INDEX([1]!tb_Vendas[Crédito],MATCH(tb_Auditoria[[#This Row],[Nº CONTRATO]],[1]!tb_Vendas[Nº Contrato],0)),0)</f>
        <v>300000</v>
      </c>
      <c r="K1203" s="21">
        <f>IFERROR(tb_Auditoria[[#This Row],[VALOR ESPERADO]] / tb_Auditoria[[#This Row],[VALOR CRÉDITO]], 0)</f>
        <v>0</v>
      </c>
      <c r="L1203" s="19" t="e">
        <f>SUMIFS([1]!Motor_Comissão[Valor Previsto],[1]!Motor_Comissão[Chave], tb_Auditoria[[#This Row],[Nº CONTRATO]]&amp;"-"&amp;tb_Auditoria[[#This Row],[PARCELA ATUAL]])</f>
        <v>#REF!</v>
      </c>
      <c r="M1203" s="19" t="e">
        <f>tb_Auditoria[[#This Row],[VALOR PAGO]] - tb_Auditoria[[#This Row],[VALOR ESPERADO]]</f>
        <v>#REF!</v>
      </c>
      <c r="N120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4" spans="1:15">
      <c r="A1204" s="9">
        <v>1156251</v>
      </c>
      <c r="B1204" s="10">
        <v>3</v>
      </c>
      <c r="C1204" s="37">
        <v>4.8640000000000003E-3</v>
      </c>
      <c r="D1204" s="12">
        <f>tb_Auditoria[[#This Row],[% TAXA RELATÓRIO]]*tb_Auditoria[[#This Row],[VALOR CRÉDITO]]</f>
        <v>1459.2</v>
      </c>
      <c r="E1204" s="13">
        <v>46072</v>
      </c>
      <c r="F1204" s="13" t="s">
        <v>18</v>
      </c>
      <c r="G120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0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04" s="19">
        <f>IFERROR(INDEX([1]!tb_Vendas[Crédito],MATCH(tb_Auditoria[[#This Row],[Nº CONTRATO]],[1]!tb_Vendas[Nº Contrato],0)),0)</f>
        <v>300000</v>
      </c>
      <c r="K1204" s="21">
        <f>IFERROR(tb_Auditoria[[#This Row],[VALOR ESPERADO]] / tb_Auditoria[[#This Row],[VALOR CRÉDITO]], 0)</f>
        <v>0</v>
      </c>
      <c r="L1204" s="19" t="e">
        <f>SUMIFS([1]!Motor_Comissão[Valor Previsto],[1]!Motor_Comissão[Chave], tb_Auditoria[[#This Row],[Nº CONTRATO]]&amp;"-"&amp;tb_Auditoria[[#This Row],[PARCELA ATUAL]])</f>
        <v>#REF!</v>
      </c>
      <c r="M1204" s="19" t="e">
        <f>tb_Auditoria[[#This Row],[VALOR PAGO]] - tb_Auditoria[[#This Row],[VALOR ESPERADO]]</f>
        <v>#REF!</v>
      </c>
      <c r="N120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5" spans="1:15">
      <c r="A1205" s="9">
        <v>1156251</v>
      </c>
      <c r="B1205" s="10">
        <v>4</v>
      </c>
      <c r="C1205" s="37">
        <v>4.8640000000000003E-3</v>
      </c>
      <c r="D1205" s="12">
        <f>tb_Auditoria[[#This Row],[% TAXA RELATÓRIO]]*tb_Auditoria[[#This Row],[VALOR CRÉDITO]]</f>
        <v>1459.2</v>
      </c>
      <c r="E1205" s="13">
        <v>46100</v>
      </c>
      <c r="F1205" s="13" t="s">
        <v>18</v>
      </c>
      <c r="G120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0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05" s="19">
        <f>IFERROR(INDEX([1]!tb_Vendas[Crédito],MATCH(tb_Auditoria[[#This Row],[Nº CONTRATO]],[1]!tb_Vendas[Nº Contrato],0)),0)</f>
        <v>300000</v>
      </c>
      <c r="K1205" s="21">
        <f>IFERROR(tb_Auditoria[[#This Row],[VALOR ESPERADO]] / tb_Auditoria[[#This Row],[VALOR CRÉDITO]], 0)</f>
        <v>0</v>
      </c>
      <c r="L1205" s="19" t="e">
        <f>SUMIFS([1]!Motor_Comissão[Valor Previsto],[1]!Motor_Comissão[Chave], tb_Auditoria[[#This Row],[Nº CONTRATO]]&amp;"-"&amp;tb_Auditoria[[#This Row],[PARCELA ATUAL]])</f>
        <v>#REF!</v>
      </c>
      <c r="M1205" s="19" t="e">
        <f>tb_Auditoria[[#This Row],[VALOR PAGO]] - tb_Auditoria[[#This Row],[VALOR ESPERADO]]</f>
        <v>#REF!</v>
      </c>
      <c r="N120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6" spans="1:15">
      <c r="A1206" s="9">
        <v>1156251</v>
      </c>
      <c r="B1206" s="10">
        <v>5</v>
      </c>
      <c r="C1206" s="37">
        <v>4.8640000000000003E-3</v>
      </c>
      <c r="D1206" s="12">
        <f>tb_Auditoria[[#This Row],[% TAXA RELATÓRIO]]*tb_Auditoria[[#This Row],[VALOR CRÉDITO]]</f>
        <v>1459.2</v>
      </c>
      <c r="E1206" s="13">
        <v>46129</v>
      </c>
      <c r="F1206" s="13" t="s">
        <v>18</v>
      </c>
      <c r="G120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0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06" s="19">
        <f>IFERROR(INDEX([1]!tb_Vendas[Crédito],MATCH(tb_Auditoria[[#This Row],[Nº CONTRATO]],[1]!tb_Vendas[Nº Contrato],0)),0)</f>
        <v>300000</v>
      </c>
      <c r="K1206" s="21">
        <f>IFERROR(tb_Auditoria[[#This Row],[VALOR ESPERADO]] / tb_Auditoria[[#This Row],[VALOR CRÉDITO]], 0)</f>
        <v>0</v>
      </c>
      <c r="L1206" s="19" t="e">
        <f>SUMIFS([1]!Motor_Comissão[Valor Previsto],[1]!Motor_Comissão[Chave], tb_Auditoria[[#This Row],[Nº CONTRATO]]&amp;"-"&amp;tb_Auditoria[[#This Row],[PARCELA ATUAL]])</f>
        <v>#REF!</v>
      </c>
      <c r="M1206" s="19" t="e">
        <f>tb_Auditoria[[#This Row],[VALOR PAGO]] - tb_Auditoria[[#This Row],[VALOR ESPERADO]]</f>
        <v>#REF!</v>
      </c>
      <c r="N120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7" spans="1:15">
      <c r="A1207" s="9">
        <v>1156251</v>
      </c>
      <c r="B1207" s="10">
        <v>6</v>
      </c>
      <c r="C1207" s="37">
        <v>4.8640000000000003E-3</v>
      </c>
      <c r="D1207" s="12">
        <f>tb_Auditoria[[#This Row],[% TAXA RELATÓRIO]]*tb_Auditoria[[#This Row],[VALOR CRÉDITO]]</f>
        <v>1459.2</v>
      </c>
      <c r="E1207" s="13">
        <v>46161</v>
      </c>
      <c r="F1207" s="13" t="s">
        <v>18</v>
      </c>
      <c r="G120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0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07" s="19">
        <f>IFERROR(INDEX([1]!tb_Vendas[Crédito],MATCH(tb_Auditoria[[#This Row],[Nº CONTRATO]],[1]!tb_Vendas[Nº Contrato],0)),0)</f>
        <v>300000</v>
      </c>
      <c r="K1207" s="21">
        <f>IFERROR(tb_Auditoria[[#This Row],[VALOR ESPERADO]] / tb_Auditoria[[#This Row],[VALOR CRÉDITO]], 0)</f>
        <v>0</v>
      </c>
      <c r="L1207" s="19" t="e">
        <f>SUMIFS([1]!Motor_Comissão[Valor Previsto],[1]!Motor_Comissão[Chave], tb_Auditoria[[#This Row],[Nº CONTRATO]]&amp;"-"&amp;tb_Auditoria[[#This Row],[PARCELA ATUAL]])</f>
        <v>#REF!</v>
      </c>
      <c r="M1207" s="19" t="e">
        <f>tb_Auditoria[[#This Row],[VALOR PAGO]] - tb_Auditoria[[#This Row],[VALOR ESPERADO]]</f>
        <v>#REF!</v>
      </c>
      <c r="N120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8" spans="1:15">
      <c r="A1208" s="9">
        <v>1156254</v>
      </c>
      <c r="B1208" s="10">
        <v>1</v>
      </c>
      <c r="C1208" s="37">
        <v>1.5E-3</v>
      </c>
      <c r="D1208" s="12">
        <f>tb_Auditoria[[#This Row],[% TAXA RELATÓRIO]]*tb_Auditoria[[#This Row],[VALOR CRÉDITO]]</f>
        <v>450</v>
      </c>
      <c r="E1208" s="13">
        <v>46008</v>
      </c>
      <c r="F1208" s="13" t="s">
        <v>18</v>
      </c>
      <c r="G120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0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08" s="19">
        <f>IFERROR(INDEX([1]!tb_Vendas[Crédito],MATCH(tb_Auditoria[[#This Row],[Nº CONTRATO]],[1]!tb_Vendas[Nº Contrato],0)),0)</f>
        <v>300000</v>
      </c>
      <c r="K1208" s="21">
        <f>IFERROR(tb_Auditoria[[#This Row],[VALOR ESPERADO]] / tb_Auditoria[[#This Row],[VALOR CRÉDITO]], 0)</f>
        <v>0</v>
      </c>
      <c r="L1208" s="19" t="e">
        <f>SUMIFS([1]!Motor_Comissão[Valor Previsto],[1]!Motor_Comissão[Chave], tb_Auditoria[[#This Row],[Nº CONTRATO]]&amp;"-"&amp;tb_Auditoria[[#This Row],[PARCELA ATUAL]])</f>
        <v>#REF!</v>
      </c>
      <c r="M1208" s="19" t="e">
        <f>tb_Auditoria[[#This Row],[VALOR PAGO]] - tb_Auditoria[[#This Row],[VALOR ESPERADO]]</f>
        <v>#REF!</v>
      </c>
      <c r="N120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09" spans="1:15">
      <c r="A1209" s="9">
        <v>1156254</v>
      </c>
      <c r="B1209" s="10">
        <v>2</v>
      </c>
      <c r="C1209" s="37">
        <v>1.5E-3</v>
      </c>
      <c r="D1209" s="12">
        <f>tb_Auditoria[[#This Row],[% TAXA RELATÓRIO]]*tb_Auditoria[[#This Row],[VALOR CRÉDITO]]</f>
        <v>450</v>
      </c>
      <c r="E1209" s="13">
        <v>46038</v>
      </c>
      <c r="F1209" s="13" t="s">
        <v>18</v>
      </c>
      <c r="G120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0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0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09" s="19">
        <f>IFERROR(INDEX([1]!tb_Vendas[Crédito],MATCH(tb_Auditoria[[#This Row],[Nº CONTRATO]],[1]!tb_Vendas[Nº Contrato],0)),0)</f>
        <v>300000</v>
      </c>
      <c r="K1209" s="21">
        <f>IFERROR(tb_Auditoria[[#This Row],[VALOR ESPERADO]] / tb_Auditoria[[#This Row],[VALOR CRÉDITO]], 0)</f>
        <v>0</v>
      </c>
      <c r="L1209" s="19" t="e">
        <f>SUMIFS([1]!Motor_Comissão[Valor Previsto],[1]!Motor_Comissão[Chave], tb_Auditoria[[#This Row],[Nº CONTRATO]]&amp;"-"&amp;tb_Auditoria[[#This Row],[PARCELA ATUAL]])</f>
        <v>#REF!</v>
      </c>
      <c r="M1209" s="19" t="e">
        <f>tb_Auditoria[[#This Row],[VALOR PAGO]] - tb_Auditoria[[#This Row],[VALOR ESPERADO]]</f>
        <v>#REF!</v>
      </c>
      <c r="N120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0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0" spans="1:15">
      <c r="A1210" s="9">
        <v>1156254</v>
      </c>
      <c r="B1210" s="10">
        <v>3</v>
      </c>
      <c r="C1210" s="37">
        <v>1.5E-3</v>
      </c>
      <c r="D1210" s="12">
        <f>tb_Auditoria[[#This Row],[% TAXA RELATÓRIO]]*tb_Auditoria[[#This Row],[VALOR CRÉDITO]]</f>
        <v>450</v>
      </c>
      <c r="E1210" s="13">
        <v>46072</v>
      </c>
      <c r="F1210" s="13" t="s">
        <v>18</v>
      </c>
      <c r="G121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1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10" s="19">
        <f>IFERROR(INDEX([1]!tb_Vendas[Crédito],MATCH(tb_Auditoria[[#This Row],[Nº CONTRATO]],[1]!tb_Vendas[Nº Contrato],0)),0)</f>
        <v>300000</v>
      </c>
      <c r="K1210" s="21">
        <f>IFERROR(tb_Auditoria[[#This Row],[VALOR ESPERADO]] / tb_Auditoria[[#This Row],[VALOR CRÉDITO]], 0)</f>
        <v>0</v>
      </c>
      <c r="L1210" s="19" t="e">
        <f>SUMIFS([1]!Motor_Comissão[Valor Previsto],[1]!Motor_Comissão[Chave], tb_Auditoria[[#This Row],[Nº CONTRATO]]&amp;"-"&amp;tb_Auditoria[[#This Row],[PARCELA ATUAL]])</f>
        <v>#REF!</v>
      </c>
      <c r="M1210" s="19" t="e">
        <f>tb_Auditoria[[#This Row],[VALOR PAGO]] - tb_Auditoria[[#This Row],[VALOR ESPERADO]]</f>
        <v>#REF!</v>
      </c>
      <c r="N121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1" spans="1:15">
      <c r="A1211" s="9">
        <v>1156254</v>
      </c>
      <c r="B1211" s="10">
        <v>4</v>
      </c>
      <c r="C1211" s="37">
        <v>1.5E-3</v>
      </c>
      <c r="D1211" s="12">
        <f>tb_Auditoria[[#This Row],[% TAXA RELATÓRIO]]*tb_Auditoria[[#This Row],[VALOR CRÉDITO]]</f>
        <v>450</v>
      </c>
      <c r="E1211" s="13">
        <v>46100</v>
      </c>
      <c r="F1211" s="13" t="s">
        <v>18</v>
      </c>
      <c r="G121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1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11" s="19">
        <f>IFERROR(INDEX([1]!tb_Vendas[Crédito],MATCH(tb_Auditoria[[#This Row],[Nº CONTRATO]],[1]!tb_Vendas[Nº Contrato],0)),0)</f>
        <v>300000</v>
      </c>
      <c r="K1211" s="21">
        <f>IFERROR(tb_Auditoria[[#This Row],[VALOR ESPERADO]] / tb_Auditoria[[#This Row],[VALOR CRÉDITO]], 0)</f>
        <v>0</v>
      </c>
      <c r="L1211" s="19" t="e">
        <f>SUMIFS([1]!Motor_Comissão[Valor Previsto],[1]!Motor_Comissão[Chave], tb_Auditoria[[#This Row],[Nº CONTRATO]]&amp;"-"&amp;tb_Auditoria[[#This Row],[PARCELA ATUAL]])</f>
        <v>#REF!</v>
      </c>
      <c r="M1211" s="19" t="e">
        <f>tb_Auditoria[[#This Row],[VALOR PAGO]] - tb_Auditoria[[#This Row],[VALOR ESPERADO]]</f>
        <v>#REF!</v>
      </c>
      <c r="N121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2" spans="1:15">
      <c r="A1212" s="30">
        <v>1156254</v>
      </c>
      <c r="B1212" s="25">
        <v>5</v>
      </c>
      <c r="C1212" s="40">
        <v>1.5E-3</v>
      </c>
      <c r="D1212" s="32">
        <f>tb_Auditoria[[#This Row],[% TAXA RELATÓRIO]]*tb_Auditoria[[#This Row],[VALOR CRÉDITO]]</f>
        <v>450</v>
      </c>
      <c r="E1212" s="29">
        <v>46129</v>
      </c>
      <c r="F1212" s="13" t="s">
        <v>18</v>
      </c>
      <c r="G1212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2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12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12" s="23">
        <f>IFERROR(INDEX([1]!tb_Vendas[Crédito],MATCH(tb_Auditoria[[#This Row],[Nº CONTRATO]],[1]!tb_Vendas[Nº Contrato],0)),0)</f>
        <v>300000</v>
      </c>
      <c r="K1212" s="22">
        <f>IFERROR(tb_Auditoria[[#This Row],[VALOR ESPERADO]] / tb_Auditoria[[#This Row],[VALOR CRÉDITO]], 0)</f>
        <v>0</v>
      </c>
      <c r="L1212" s="23" t="e">
        <f>SUMIFS([1]!Motor_Comissão[Valor Previsto],[1]!Motor_Comissão[Chave], tb_Auditoria[[#This Row],[Nº CONTRATO]]&amp;"-"&amp;tb_Auditoria[[#This Row],[PARCELA ATUAL]])</f>
        <v>#REF!</v>
      </c>
      <c r="M1212" s="23" t="e">
        <f>tb_Auditoria[[#This Row],[VALOR PAGO]] - tb_Auditoria[[#This Row],[VALOR ESPERADO]]</f>
        <v>#REF!</v>
      </c>
      <c r="N1212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2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3" spans="1:15">
      <c r="A1213" s="30">
        <v>1156254</v>
      </c>
      <c r="B1213" s="25">
        <v>6</v>
      </c>
      <c r="C1213" s="40">
        <v>1.5E-3</v>
      </c>
      <c r="D1213" s="32">
        <f>tb_Auditoria[[#This Row],[% TAXA RELATÓRIO]]*tb_Auditoria[[#This Row],[VALOR CRÉDITO]]</f>
        <v>450</v>
      </c>
      <c r="E1213" s="29">
        <v>46161</v>
      </c>
      <c r="F1213" s="29" t="s">
        <v>18</v>
      </c>
      <c r="G1213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3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13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13" s="23">
        <f>IFERROR(INDEX([1]!tb_Vendas[Crédito],MATCH(tb_Auditoria[[#This Row],[Nº CONTRATO]],[1]!tb_Vendas[Nº Contrato],0)),0)</f>
        <v>300000</v>
      </c>
      <c r="K1213" s="22">
        <f>IFERROR(tb_Auditoria[[#This Row],[VALOR ESPERADO]] / tb_Auditoria[[#This Row],[VALOR CRÉDITO]], 0)</f>
        <v>0</v>
      </c>
      <c r="L1213" s="23" t="e">
        <f>SUMIFS([1]!Motor_Comissão[Valor Previsto],[1]!Motor_Comissão[Chave], tb_Auditoria[[#This Row],[Nº CONTRATO]]&amp;"-"&amp;tb_Auditoria[[#This Row],[PARCELA ATUAL]])</f>
        <v>#REF!</v>
      </c>
      <c r="M1213" s="23" t="e">
        <f>tb_Auditoria[[#This Row],[VALOR PAGO]] - tb_Auditoria[[#This Row],[VALOR ESPERADO]]</f>
        <v>#REF!</v>
      </c>
      <c r="N1213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3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4" spans="1:15">
      <c r="A1214" s="9">
        <v>1156255</v>
      </c>
      <c r="B1214" s="10">
        <v>1</v>
      </c>
      <c r="C1214" s="37">
        <v>1.5E-3</v>
      </c>
      <c r="D1214" s="12">
        <f>tb_Auditoria[[#This Row],[% TAXA RELATÓRIO]]*tb_Auditoria[[#This Row],[VALOR CRÉDITO]]</f>
        <v>450</v>
      </c>
      <c r="E1214" s="13">
        <v>46008</v>
      </c>
      <c r="F1214" s="13" t="s">
        <v>18</v>
      </c>
      <c r="G121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1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14" s="19">
        <f>IFERROR(INDEX([1]!tb_Vendas[Crédito],MATCH(tb_Auditoria[[#This Row],[Nº CONTRATO]],[1]!tb_Vendas[Nº Contrato],0)),0)</f>
        <v>300000</v>
      </c>
      <c r="K1214" s="21">
        <f>IFERROR(tb_Auditoria[[#This Row],[VALOR ESPERADO]] / tb_Auditoria[[#This Row],[VALOR CRÉDITO]], 0)</f>
        <v>0</v>
      </c>
      <c r="L1214" s="19" t="e">
        <f>SUMIFS([1]!Motor_Comissão[Valor Previsto],[1]!Motor_Comissão[Chave], tb_Auditoria[[#This Row],[Nº CONTRATO]]&amp;"-"&amp;tb_Auditoria[[#This Row],[PARCELA ATUAL]])</f>
        <v>#REF!</v>
      </c>
      <c r="M1214" s="19" t="e">
        <f>tb_Auditoria[[#This Row],[VALOR PAGO]] - tb_Auditoria[[#This Row],[VALOR ESPERADO]]</f>
        <v>#REF!</v>
      </c>
      <c r="N121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5" spans="1:15">
      <c r="A1215" s="9">
        <v>1156255</v>
      </c>
      <c r="B1215" s="10">
        <v>2</v>
      </c>
      <c r="C1215" s="37">
        <v>1.5E-3</v>
      </c>
      <c r="D1215" s="12">
        <f>tb_Auditoria[[#This Row],[% TAXA RELATÓRIO]]*tb_Auditoria[[#This Row],[VALOR CRÉDITO]]</f>
        <v>450</v>
      </c>
      <c r="E1215" s="13">
        <v>46038</v>
      </c>
      <c r="F1215" s="13" t="s">
        <v>18</v>
      </c>
      <c r="G121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1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15" s="19">
        <f>IFERROR(INDEX([1]!tb_Vendas[Crédito],MATCH(tb_Auditoria[[#This Row],[Nº CONTRATO]],[1]!tb_Vendas[Nº Contrato],0)),0)</f>
        <v>300000</v>
      </c>
      <c r="K1215" s="21">
        <f>IFERROR(tb_Auditoria[[#This Row],[VALOR ESPERADO]] / tb_Auditoria[[#This Row],[VALOR CRÉDITO]], 0)</f>
        <v>0</v>
      </c>
      <c r="L1215" s="19" t="e">
        <f>SUMIFS([1]!Motor_Comissão[Valor Previsto],[1]!Motor_Comissão[Chave], tb_Auditoria[[#This Row],[Nº CONTRATO]]&amp;"-"&amp;tb_Auditoria[[#This Row],[PARCELA ATUAL]])</f>
        <v>#REF!</v>
      </c>
      <c r="M1215" s="19" t="e">
        <f>tb_Auditoria[[#This Row],[VALOR PAGO]] - tb_Auditoria[[#This Row],[VALOR ESPERADO]]</f>
        <v>#REF!</v>
      </c>
      <c r="N121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6" spans="1:15">
      <c r="A1216" s="9">
        <v>1156255</v>
      </c>
      <c r="B1216" s="10">
        <v>3</v>
      </c>
      <c r="C1216" s="37">
        <v>1.5E-3</v>
      </c>
      <c r="D1216" s="12">
        <f>tb_Auditoria[[#This Row],[% TAXA RELATÓRIO]]*tb_Auditoria[[#This Row],[VALOR CRÉDITO]]</f>
        <v>450</v>
      </c>
      <c r="E1216" s="13">
        <v>46072</v>
      </c>
      <c r="F1216" s="13" t="s">
        <v>18</v>
      </c>
      <c r="G121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1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16" s="19">
        <f>IFERROR(INDEX([1]!tb_Vendas[Crédito],MATCH(tb_Auditoria[[#This Row],[Nº CONTRATO]],[1]!tb_Vendas[Nº Contrato],0)),0)</f>
        <v>300000</v>
      </c>
      <c r="K1216" s="21">
        <f>IFERROR(tb_Auditoria[[#This Row],[VALOR ESPERADO]] / tb_Auditoria[[#This Row],[VALOR CRÉDITO]], 0)</f>
        <v>0</v>
      </c>
      <c r="L1216" s="19" t="e">
        <f>SUMIFS([1]!Motor_Comissão[Valor Previsto],[1]!Motor_Comissão[Chave], tb_Auditoria[[#This Row],[Nº CONTRATO]]&amp;"-"&amp;tb_Auditoria[[#This Row],[PARCELA ATUAL]])</f>
        <v>#REF!</v>
      </c>
      <c r="M1216" s="19" t="e">
        <f>tb_Auditoria[[#This Row],[VALOR PAGO]] - tb_Auditoria[[#This Row],[VALOR ESPERADO]]</f>
        <v>#REF!</v>
      </c>
      <c r="N121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7" spans="1:15">
      <c r="A1217" s="9">
        <v>1156255</v>
      </c>
      <c r="B1217" s="10">
        <v>4</v>
      </c>
      <c r="C1217" s="37">
        <v>1.5E-3</v>
      </c>
      <c r="D1217" s="12">
        <f>tb_Auditoria[[#This Row],[% TAXA RELATÓRIO]]*tb_Auditoria[[#This Row],[VALOR CRÉDITO]]</f>
        <v>450</v>
      </c>
      <c r="E1217" s="13">
        <v>46100</v>
      </c>
      <c r="F1217" s="13" t="s">
        <v>18</v>
      </c>
      <c r="G121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1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17" s="19">
        <f>IFERROR(INDEX([1]!tb_Vendas[Crédito],MATCH(tb_Auditoria[[#This Row],[Nº CONTRATO]],[1]!tb_Vendas[Nº Contrato],0)),0)</f>
        <v>300000</v>
      </c>
      <c r="K1217" s="21">
        <f>IFERROR(tb_Auditoria[[#This Row],[VALOR ESPERADO]] / tb_Auditoria[[#This Row],[VALOR CRÉDITO]], 0)</f>
        <v>0</v>
      </c>
      <c r="L1217" s="19" t="e">
        <f>SUMIFS([1]!Motor_Comissão[Valor Previsto],[1]!Motor_Comissão[Chave], tb_Auditoria[[#This Row],[Nº CONTRATO]]&amp;"-"&amp;tb_Auditoria[[#This Row],[PARCELA ATUAL]])</f>
        <v>#REF!</v>
      </c>
      <c r="M1217" s="19" t="e">
        <f>tb_Auditoria[[#This Row],[VALOR PAGO]] - tb_Auditoria[[#This Row],[VALOR ESPERADO]]</f>
        <v>#REF!</v>
      </c>
      <c r="N121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8" spans="1:15">
      <c r="A1218" s="9">
        <v>1156255</v>
      </c>
      <c r="B1218" s="10">
        <v>5</v>
      </c>
      <c r="C1218" s="37">
        <v>1.5E-3</v>
      </c>
      <c r="D1218" s="12">
        <f>tb_Auditoria[[#This Row],[% TAXA RELATÓRIO]]*tb_Auditoria[[#This Row],[VALOR CRÉDITO]]</f>
        <v>450</v>
      </c>
      <c r="E1218" s="13">
        <v>46129</v>
      </c>
      <c r="F1218" s="13" t="s">
        <v>18</v>
      </c>
      <c r="G121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1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18" s="19">
        <f>IFERROR(INDEX([1]!tb_Vendas[Crédito],MATCH(tb_Auditoria[[#This Row],[Nº CONTRATO]],[1]!tb_Vendas[Nº Contrato],0)),0)</f>
        <v>300000</v>
      </c>
      <c r="K1218" s="21">
        <f>IFERROR(tb_Auditoria[[#This Row],[VALOR ESPERADO]] / tb_Auditoria[[#This Row],[VALOR CRÉDITO]], 0)</f>
        <v>0</v>
      </c>
      <c r="L1218" s="19" t="e">
        <f>SUMIFS([1]!Motor_Comissão[Valor Previsto],[1]!Motor_Comissão[Chave], tb_Auditoria[[#This Row],[Nº CONTRATO]]&amp;"-"&amp;tb_Auditoria[[#This Row],[PARCELA ATUAL]])</f>
        <v>#REF!</v>
      </c>
      <c r="M1218" s="19" t="e">
        <f>tb_Auditoria[[#This Row],[VALOR PAGO]] - tb_Auditoria[[#This Row],[VALOR ESPERADO]]</f>
        <v>#REF!</v>
      </c>
      <c r="N121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19" spans="1:15">
      <c r="A1219" s="9">
        <v>1156255</v>
      </c>
      <c r="B1219" s="10">
        <v>6</v>
      </c>
      <c r="C1219" s="37">
        <v>1.5E-3</v>
      </c>
      <c r="D1219" s="12">
        <f>tb_Auditoria[[#This Row],[% TAXA RELATÓRIO]]*tb_Auditoria[[#This Row],[VALOR CRÉDITO]]</f>
        <v>450</v>
      </c>
      <c r="E1219" s="13">
        <v>46161</v>
      </c>
      <c r="F1219" s="13" t="s">
        <v>18</v>
      </c>
      <c r="G121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1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FELIPE MASTROCOLA</v>
      </c>
      <c r="I121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MASTROCOLA</v>
      </c>
      <c r="J1219" s="19">
        <f>IFERROR(INDEX([1]!tb_Vendas[Crédito],MATCH(tb_Auditoria[[#This Row],[Nº CONTRATO]],[1]!tb_Vendas[Nº Contrato],0)),0)</f>
        <v>300000</v>
      </c>
      <c r="K1219" s="21">
        <f>IFERROR(tb_Auditoria[[#This Row],[VALOR ESPERADO]] / tb_Auditoria[[#This Row],[VALOR CRÉDITO]], 0)</f>
        <v>0</v>
      </c>
      <c r="L1219" s="19" t="e">
        <f>SUMIFS([1]!Motor_Comissão[Valor Previsto],[1]!Motor_Comissão[Chave], tb_Auditoria[[#This Row],[Nº CONTRATO]]&amp;"-"&amp;tb_Auditoria[[#This Row],[PARCELA ATUAL]])</f>
        <v>#REF!</v>
      </c>
      <c r="M1219" s="19" t="e">
        <f>tb_Auditoria[[#This Row],[VALOR PAGO]] - tb_Auditoria[[#This Row],[VALOR ESPERADO]]</f>
        <v>#REF!</v>
      </c>
      <c r="N121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1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0" spans="1:15">
      <c r="A1220" s="9">
        <v>1157149</v>
      </c>
      <c r="B1220" s="10">
        <v>1</v>
      </c>
      <c r="C1220" s="37">
        <v>5.6519999999999999E-3</v>
      </c>
      <c r="D1220" s="12">
        <f>tb_Auditoria[[#This Row],[% TAXA RELATÓRIO]]*tb_Auditoria[[#This Row],[VALOR CRÉDITO]]</f>
        <v>697.93716347999998</v>
      </c>
      <c r="E1220" s="13">
        <v>46038</v>
      </c>
      <c r="F1220" s="13" t="s">
        <v>18</v>
      </c>
      <c r="G122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2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20" s="19">
        <f>IFERROR(INDEX([1]!tb_Vendas[Crédito],MATCH(tb_Auditoria[[#This Row],[Nº CONTRATO]],[1]!tb_Vendas[Nº Contrato],0)),0)</f>
        <v>123484.99</v>
      </c>
      <c r="K1220" s="21">
        <f>IFERROR(tb_Auditoria[[#This Row],[VALOR ESPERADO]] / tb_Auditoria[[#This Row],[VALOR CRÉDITO]], 0)</f>
        <v>0</v>
      </c>
      <c r="L1220" s="19" t="e">
        <f>SUMIFS([1]!Motor_Comissão[Valor Previsto],[1]!Motor_Comissão[Chave], tb_Auditoria[[#This Row],[Nº CONTRATO]]&amp;"-"&amp;tb_Auditoria[[#This Row],[PARCELA ATUAL]])</f>
        <v>#REF!</v>
      </c>
      <c r="M1220" s="19" t="e">
        <f>tb_Auditoria[[#This Row],[VALOR PAGO]] - tb_Auditoria[[#This Row],[VALOR ESPERADO]]</f>
        <v>#REF!</v>
      </c>
      <c r="N122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1" spans="1:15">
      <c r="A1221" s="9">
        <v>1157149</v>
      </c>
      <c r="B1221" s="10">
        <v>2</v>
      </c>
      <c r="C1221" s="37">
        <v>5.6519999999999999E-3</v>
      </c>
      <c r="D1221" s="12">
        <f>tb_Auditoria[[#This Row],[% TAXA RELATÓRIO]]*tb_Auditoria[[#This Row],[VALOR CRÉDITO]]</f>
        <v>697.93716347999998</v>
      </c>
      <c r="E1221" s="13">
        <v>46072</v>
      </c>
      <c r="F1221" s="13" t="s">
        <v>18</v>
      </c>
      <c r="G122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2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21" s="19">
        <f>IFERROR(INDEX([1]!tb_Vendas[Crédito],MATCH(tb_Auditoria[[#This Row],[Nº CONTRATO]],[1]!tb_Vendas[Nº Contrato],0)),0)</f>
        <v>123484.99</v>
      </c>
      <c r="K1221" s="21">
        <f>IFERROR(tb_Auditoria[[#This Row],[VALOR ESPERADO]] / tb_Auditoria[[#This Row],[VALOR CRÉDITO]], 0)</f>
        <v>0</v>
      </c>
      <c r="L1221" s="19" t="e">
        <f>SUMIFS([1]!Motor_Comissão[Valor Previsto],[1]!Motor_Comissão[Chave], tb_Auditoria[[#This Row],[Nº CONTRATO]]&amp;"-"&amp;tb_Auditoria[[#This Row],[PARCELA ATUAL]])</f>
        <v>#REF!</v>
      </c>
      <c r="M1221" s="19" t="e">
        <f>tb_Auditoria[[#This Row],[VALOR PAGO]] - tb_Auditoria[[#This Row],[VALOR ESPERADO]]</f>
        <v>#REF!</v>
      </c>
      <c r="N122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2" spans="1:15">
      <c r="A1222" s="9">
        <v>1157149</v>
      </c>
      <c r="B1222" s="10">
        <v>3</v>
      </c>
      <c r="C1222" s="37">
        <v>5.6519999999999999E-3</v>
      </c>
      <c r="D1222" s="12">
        <f>tb_Auditoria[[#This Row],[% TAXA RELATÓRIO]]*tb_Auditoria[[#This Row],[VALOR CRÉDITO]]</f>
        <v>697.93716347999998</v>
      </c>
      <c r="E1222" s="13">
        <v>46100</v>
      </c>
      <c r="F1222" s="13" t="s">
        <v>18</v>
      </c>
      <c r="G122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2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22" s="19">
        <f>IFERROR(INDEX([1]!tb_Vendas[Crédito],MATCH(tb_Auditoria[[#This Row],[Nº CONTRATO]],[1]!tb_Vendas[Nº Contrato],0)),0)</f>
        <v>123484.99</v>
      </c>
      <c r="K1222" s="21">
        <f>IFERROR(tb_Auditoria[[#This Row],[VALOR ESPERADO]] / tb_Auditoria[[#This Row],[VALOR CRÉDITO]], 0)</f>
        <v>0</v>
      </c>
      <c r="L1222" s="19" t="e">
        <f>SUMIFS([1]!Motor_Comissão[Valor Previsto],[1]!Motor_Comissão[Chave], tb_Auditoria[[#This Row],[Nº CONTRATO]]&amp;"-"&amp;tb_Auditoria[[#This Row],[PARCELA ATUAL]])</f>
        <v>#REF!</v>
      </c>
      <c r="M1222" s="19" t="e">
        <f>tb_Auditoria[[#This Row],[VALOR PAGO]] - tb_Auditoria[[#This Row],[VALOR ESPERADO]]</f>
        <v>#REF!</v>
      </c>
      <c r="N122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3" spans="1:15">
      <c r="A1223" s="9">
        <v>1157149</v>
      </c>
      <c r="B1223" s="10">
        <v>4</v>
      </c>
      <c r="C1223" s="37">
        <v>5.6519999999999999E-3</v>
      </c>
      <c r="D1223" s="12">
        <f>tb_Auditoria[[#This Row],[% TAXA RELATÓRIO]]*tb_Auditoria[[#This Row],[VALOR CRÉDITO]]</f>
        <v>697.93716347999998</v>
      </c>
      <c r="E1223" s="13">
        <v>46129</v>
      </c>
      <c r="F1223" s="13" t="s">
        <v>18</v>
      </c>
      <c r="G122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2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23" s="19">
        <f>IFERROR(INDEX([1]!tb_Vendas[Crédito],MATCH(tb_Auditoria[[#This Row],[Nº CONTRATO]],[1]!tb_Vendas[Nº Contrato],0)),0)</f>
        <v>123484.99</v>
      </c>
      <c r="K1223" s="21">
        <f>IFERROR(tb_Auditoria[[#This Row],[VALOR ESPERADO]] / tb_Auditoria[[#This Row],[VALOR CRÉDITO]], 0)</f>
        <v>0</v>
      </c>
      <c r="L1223" s="19" t="e">
        <f>SUMIFS([1]!Motor_Comissão[Valor Previsto],[1]!Motor_Comissão[Chave], tb_Auditoria[[#This Row],[Nº CONTRATO]]&amp;"-"&amp;tb_Auditoria[[#This Row],[PARCELA ATUAL]])</f>
        <v>#REF!</v>
      </c>
      <c r="M1223" s="19" t="e">
        <f>tb_Auditoria[[#This Row],[VALOR PAGO]] - tb_Auditoria[[#This Row],[VALOR ESPERADO]]</f>
        <v>#REF!</v>
      </c>
      <c r="N122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4" spans="1:15">
      <c r="A1224" s="9">
        <v>1157149</v>
      </c>
      <c r="B1224" s="10">
        <v>5</v>
      </c>
      <c r="C1224" s="37">
        <v>2.232E-3</v>
      </c>
      <c r="D1224" s="12">
        <f>tb_Auditoria[[#This Row],[% TAXA RELATÓRIO]]*tb_Auditoria[[#This Row],[VALOR CRÉDITO]]</f>
        <v>275.61849768000002</v>
      </c>
      <c r="E1224" s="13">
        <v>46161</v>
      </c>
      <c r="F1224" s="13" t="s">
        <v>18</v>
      </c>
      <c r="G122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2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24" s="19">
        <f>IFERROR(INDEX([1]!tb_Vendas[Crédito],MATCH(tb_Auditoria[[#This Row],[Nº CONTRATO]],[1]!tb_Vendas[Nº Contrato],0)),0)</f>
        <v>123484.99</v>
      </c>
      <c r="K1224" s="21">
        <f>IFERROR(tb_Auditoria[[#This Row],[VALOR ESPERADO]] / tb_Auditoria[[#This Row],[VALOR CRÉDITO]], 0)</f>
        <v>0</v>
      </c>
      <c r="L1224" s="19" t="e">
        <f>SUMIFS([1]!Motor_Comissão[Valor Previsto],[1]!Motor_Comissão[Chave], tb_Auditoria[[#This Row],[Nº CONTRATO]]&amp;"-"&amp;tb_Auditoria[[#This Row],[PARCELA ATUAL]])</f>
        <v>#REF!</v>
      </c>
      <c r="M1224" s="19" t="e">
        <f>tb_Auditoria[[#This Row],[VALOR PAGO]] - tb_Auditoria[[#This Row],[VALOR ESPERADO]]</f>
        <v>#REF!</v>
      </c>
      <c r="N122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5" spans="1:15">
      <c r="A1225" s="9">
        <v>1157150</v>
      </c>
      <c r="B1225" s="10">
        <v>1</v>
      </c>
      <c r="C1225" s="37">
        <v>5.4949999999999999E-3</v>
      </c>
      <c r="D1225" s="12">
        <f>tb_Auditoria[[#This Row],[% TAXA RELATÓRIO]]*tb_Auditoria[[#This Row],[VALOR CRÉDITO]]</f>
        <v>384.65</v>
      </c>
      <c r="E1225" s="13">
        <v>46038</v>
      </c>
      <c r="F1225" s="13" t="s">
        <v>18</v>
      </c>
      <c r="G122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2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25" s="19">
        <f>IFERROR(INDEX([1]!tb_Vendas[Crédito],MATCH(tb_Auditoria[[#This Row],[Nº CONTRATO]],[1]!tb_Vendas[Nº Contrato],0)),0)</f>
        <v>70000</v>
      </c>
      <c r="K1225" s="21">
        <f>IFERROR(tb_Auditoria[[#This Row],[VALOR ESPERADO]] / tb_Auditoria[[#This Row],[VALOR CRÉDITO]], 0)</f>
        <v>0</v>
      </c>
      <c r="L1225" s="19" t="e">
        <f>SUMIFS([1]!Motor_Comissão[Valor Previsto],[1]!Motor_Comissão[Chave], tb_Auditoria[[#This Row],[Nº CONTRATO]]&amp;"-"&amp;tb_Auditoria[[#This Row],[PARCELA ATUAL]])</f>
        <v>#REF!</v>
      </c>
      <c r="M1225" s="19" t="e">
        <f>tb_Auditoria[[#This Row],[VALOR PAGO]] - tb_Auditoria[[#This Row],[VALOR ESPERADO]]</f>
        <v>#REF!</v>
      </c>
      <c r="N122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6" spans="1:15">
      <c r="A1226" s="9">
        <v>1157150</v>
      </c>
      <c r="B1226" s="10">
        <v>2</v>
      </c>
      <c r="C1226" s="37">
        <v>5.4949999999999999E-3</v>
      </c>
      <c r="D1226" s="12">
        <f>tb_Auditoria[[#This Row],[% TAXA RELATÓRIO]]*tb_Auditoria[[#This Row],[VALOR CRÉDITO]]</f>
        <v>384.65</v>
      </c>
      <c r="E1226" s="13">
        <v>46072</v>
      </c>
      <c r="F1226" s="13" t="s">
        <v>18</v>
      </c>
      <c r="G122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2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26" s="19">
        <f>IFERROR(INDEX([1]!tb_Vendas[Crédito],MATCH(tb_Auditoria[[#This Row],[Nº CONTRATO]],[1]!tb_Vendas[Nº Contrato],0)),0)</f>
        <v>70000</v>
      </c>
      <c r="K1226" s="21">
        <f>IFERROR(tb_Auditoria[[#This Row],[VALOR ESPERADO]] / tb_Auditoria[[#This Row],[VALOR CRÉDITO]], 0)</f>
        <v>0</v>
      </c>
      <c r="L1226" s="19" t="e">
        <f>SUMIFS([1]!Motor_Comissão[Valor Previsto],[1]!Motor_Comissão[Chave], tb_Auditoria[[#This Row],[Nº CONTRATO]]&amp;"-"&amp;tb_Auditoria[[#This Row],[PARCELA ATUAL]])</f>
        <v>#REF!</v>
      </c>
      <c r="M1226" s="19" t="e">
        <f>tb_Auditoria[[#This Row],[VALOR PAGO]] - tb_Auditoria[[#This Row],[VALOR ESPERADO]]</f>
        <v>#REF!</v>
      </c>
      <c r="N122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7" spans="1:15">
      <c r="A1227" s="9">
        <v>1157150</v>
      </c>
      <c r="B1227" s="10">
        <v>3</v>
      </c>
      <c r="C1227" s="37">
        <v>5.4949999999999999E-3</v>
      </c>
      <c r="D1227" s="12">
        <f>tb_Auditoria[[#This Row],[% TAXA RELATÓRIO]]*tb_Auditoria[[#This Row],[VALOR CRÉDITO]]</f>
        <v>384.65</v>
      </c>
      <c r="E1227" s="13">
        <v>46100</v>
      </c>
      <c r="F1227" s="13" t="s">
        <v>18</v>
      </c>
      <c r="G122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2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27" s="19">
        <f>IFERROR(INDEX([1]!tb_Vendas[Crédito],MATCH(tb_Auditoria[[#This Row],[Nº CONTRATO]],[1]!tb_Vendas[Nº Contrato],0)),0)</f>
        <v>70000</v>
      </c>
      <c r="K1227" s="21">
        <f>IFERROR(tb_Auditoria[[#This Row],[VALOR ESPERADO]] / tb_Auditoria[[#This Row],[VALOR CRÉDITO]], 0)</f>
        <v>0</v>
      </c>
      <c r="L1227" s="19" t="e">
        <f>SUMIFS([1]!Motor_Comissão[Valor Previsto],[1]!Motor_Comissão[Chave], tb_Auditoria[[#This Row],[Nº CONTRATO]]&amp;"-"&amp;tb_Auditoria[[#This Row],[PARCELA ATUAL]])</f>
        <v>#REF!</v>
      </c>
      <c r="M1227" s="19" t="e">
        <f>tb_Auditoria[[#This Row],[VALOR PAGO]] - tb_Auditoria[[#This Row],[VALOR ESPERADO]]</f>
        <v>#REF!</v>
      </c>
      <c r="N122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8" spans="1:15">
      <c r="A1228" s="9">
        <v>1157150</v>
      </c>
      <c r="B1228" s="10">
        <v>4</v>
      </c>
      <c r="C1228" s="37">
        <v>5.4949999999999999E-3</v>
      </c>
      <c r="D1228" s="12">
        <f>tb_Auditoria[[#This Row],[% TAXA RELATÓRIO]]*tb_Auditoria[[#This Row],[VALOR CRÉDITO]]</f>
        <v>384.65</v>
      </c>
      <c r="E1228" s="13">
        <v>46129</v>
      </c>
      <c r="F1228" s="13" t="s">
        <v>18</v>
      </c>
      <c r="G122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2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28" s="19">
        <f>IFERROR(INDEX([1]!tb_Vendas[Crédito],MATCH(tb_Auditoria[[#This Row],[Nº CONTRATO]],[1]!tb_Vendas[Nº Contrato],0)),0)</f>
        <v>70000</v>
      </c>
      <c r="K1228" s="21">
        <f>IFERROR(tb_Auditoria[[#This Row],[VALOR ESPERADO]] / tb_Auditoria[[#This Row],[VALOR CRÉDITO]], 0)</f>
        <v>0</v>
      </c>
      <c r="L1228" s="19" t="e">
        <f>SUMIFS([1]!Motor_Comissão[Valor Previsto],[1]!Motor_Comissão[Chave], tb_Auditoria[[#This Row],[Nº CONTRATO]]&amp;"-"&amp;tb_Auditoria[[#This Row],[PARCELA ATUAL]])</f>
        <v>#REF!</v>
      </c>
      <c r="M1228" s="19" t="e">
        <f>tb_Auditoria[[#This Row],[VALOR PAGO]] - tb_Auditoria[[#This Row],[VALOR ESPERADO]]</f>
        <v>#REF!</v>
      </c>
      <c r="N122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29" spans="1:15">
      <c r="A1229" s="9">
        <v>1157150</v>
      </c>
      <c r="B1229" s="10">
        <v>5</v>
      </c>
      <c r="C1229" s="37">
        <v>2.1700000000000001E-3</v>
      </c>
      <c r="D1229" s="12">
        <f>tb_Auditoria[[#This Row],[% TAXA RELATÓRIO]]*tb_Auditoria[[#This Row],[VALOR CRÉDITO]]</f>
        <v>151.9</v>
      </c>
      <c r="E1229" s="13">
        <v>46161</v>
      </c>
      <c r="F1229" s="13" t="s">
        <v>18</v>
      </c>
      <c r="G122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2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2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29" s="19">
        <f>IFERROR(INDEX([1]!tb_Vendas[Crédito],MATCH(tb_Auditoria[[#This Row],[Nº CONTRATO]],[1]!tb_Vendas[Nº Contrato],0)),0)</f>
        <v>70000</v>
      </c>
      <c r="K1229" s="21">
        <f>IFERROR(tb_Auditoria[[#This Row],[VALOR ESPERADO]] / tb_Auditoria[[#This Row],[VALOR CRÉDITO]], 0)</f>
        <v>0</v>
      </c>
      <c r="L1229" s="19" t="e">
        <f>SUMIFS([1]!Motor_Comissão[Valor Previsto],[1]!Motor_Comissão[Chave], tb_Auditoria[[#This Row],[Nº CONTRATO]]&amp;"-"&amp;tb_Auditoria[[#This Row],[PARCELA ATUAL]])</f>
        <v>#REF!</v>
      </c>
      <c r="M1229" s="19" t="e">
        <f>tb_Auditoria[[#This Row],[VALOR PAGO]] - tb_Auditoria[[#This Row],[VALOR ESPERADO]]</f>
        <v>#REF!</v>
      </c>
      <c r="N122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2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0" spans="1:15">
      <c r="A1230" s="9">
        <v>1157152</v>
      </c>
      <c r="B1230" s="10">
        <v>1</v>
      </c>
      <c r="C1230" s="37">
        <v>5.4949999999999999E-3</v>
      </c>
      <c r="D1230" s="12">
        <f>tb_Auditoria[[#This Row],[% TAXA RELATÓRIO]]*tb_Auditoria[[#This Row],[VALOR CRÉDITO]]</f>
        <v>384.65</v>
      </c>
      <c r="E1230" s="13">
        <v>46038</v>
      </c>
      <c r="F1230" s="13" t="s">
        <v>18</v>
      </c>
      <c r="G123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3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30" s="19">
        <f>IFERROR(INDEX([1]!tb_Vendas[Crédito],MATCH(tb_Auditoria[[#This Row],[Nº CONTRATO]],[1]!tb_Vendas[Nº Contrato],0)),0)</f>
        <v>70000</v>
      </c>
      <c r="K1230" s="21">
        <f>IFERROR(tb_Auditoria[[#This Row],[VALOR ESPERADO]] / tb_Auditoria[[#This Row],[VALOR CRÉDITO]], 0)</f>
        <v>0</v>
      </c>
      <c r="L1230" s="19" t="e">
        <f>SUMIFS([1]!Motor_Comissão[Valor Previsto],[1]!Motor_Comissão[Chave], tb_Auditoria[[#This Row],[Nº CONTRATO]]&amp;"-"&amp;tb_Auditoria[[#This Row],[PARCELA ATUAL]])</f>
        <v>#REF!</v>
      </c>
      <c r="M1230" s="19" t="e">
        <f>tb_Auditoria[[#This Row],[VALOR PAGO]] - tb_Auditoria[[#This Row],[VALOR ESPERADO]]</f>
        <v>#REF!</v>
      </c>
      <c r="N123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1" spans="1:15">
      <c r="A1231" s="9">
        <v>1157152</v>
      </c>
      <c r="B1231" s="10">
        <v>2</v>
      </c>
      <c r="C1231" s="37">
        <v>5.4949999999999999E-3</v>
      </c>
      <c r="D1231" s="12">
        <f>tb_Auditoria[[#This Row],[% TAXA RELATÓRIO]]*tb_Auditoria[[#This Row],[VALOR CRÉDITO]]</f>
        <v>384.65</v>
      </c>
      <c r="E1231" s="13">
        <v>46072</v>
      </c>
      <c r="F1231" s="13" t="s">
        <v>18</v>
      </c>
      <c r="G123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3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31" s="19">
        <f>IFERROR(INDEX([1]!tb_Vendas[Crédito],MATCH(tb_Auditoria[[#This Row],[Nº CONTRATO]],[1]!tb_Vendas[Nº Contrato],0)),0)</f>
        <v>70000</v>
      </c>
      <c r="K1231" s="21">
        <f>IFERROR(tb_Auditoria[[#This Row],[VALOR ESPERADO]] / tb_Auditoria[[#This Row],[VALOR CRÉDITO]], 0)</f>
        <v>0</v>
      </c>
      <c r="L1231" s="19" t="e">
        <f>SUMIFS([1]!Motor_Comissão[Valor Previsto],[1]!Motor_Comissão[Chave], tb_Auditoria[[#This Row],[Nº CONTRATO]]&amp;"-"&amp;tb_Auditoria[[#This Row],[PARCELA ATUAL]])</f>
        <v>#REF!</v>
      </c>
      <c r="M1231" s="19" t="e">
        <f>tb_Auditoria[[#This Row],[VALOR PAGO]] - tb_Auditoria[[#This Row],[VALOR ESPERADO]]</f>
        <v>#REF!</v>
      </c>
      <c r="N123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2" spans="1:15">
      <c r="A1232" s="9">
        <v>1157152</v>
      </c>
      <c r="B1232" s="10">
        <v>3</v>
      </c>
      <c r="C1232" s="37">
        <v>5.4949999999999999E-3</v>
      </c>
      <c r="D1232" s="12">
        <f>tb_Auditoria[[#This Row],[% TAXA RELATÓRIO]]*tb_Auditoria[[#This Row],[VALOR CRÉDITO]]</f>
        <v>384.65</v>
      </c>
      <c r="E1232" s="13">
        <v>46100</v>
      </c>
      <c r="F1232" s="13" t="s">
        <v>18</v>
      </c>
      <c r="G123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3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32" s="19">
        <f>IFERROR(INDEX([1]!tb_Vendas[Crédito],MATCH(tb_Auditoria[[#This Row],[Nº CONTRATO]],[1]!tb_Vendas[Nº Contrato],0)),0)</f>
        <v>70000</v>
      </c>
      <c r="K1232" s="21">
        <f>IFERROR(tb_Auditoria[[#This Row],[VALOR ESPERADO]] / tb_Auditoria[[#This Row],[VALOR CRÉDITO]], 0)</f>
        <v>0</v>
      </c>
      <c r="L1232" s="19" t="e">
        <f>SUMIFS([1]!Motor_Comissão[Valor Previsto],[1]!Motor_Comissão[Chave], tb_Auditoria[[#This Row],[Nº CONTRATO]]&amp;"-"&amp;tb_Auditoria[[#This Row],[PARCELA ATUAL]])</f>
        <v>#REF!</v>
      </c>
      <c r="M1232" s="19" t="e">
        <f>tb_Auditoria[[#This Row],[VALOR PAGO]] - tb_Auditoria[[#This Row],[VALOR ESPERADO]]</f>
        <v>#REF!</v>
      </c>
      <c r="N123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3" spans="1:15">
      <c r="A1233" s="9">
        <v>1157152</v>
      </c>
      <c r="B1233" s="10">
        <v>4</v>
      </c>
      <c r="C1233" s="37">
        <v>5.4949999999999999E-3</v>
      </c>
      <c r="D1233" s="12">
        <f>tb_Auditoria[[#This Row],[% TAXA RELATÓRIO]]*tb_Auditoria[[#This Row],[VALOR CRÉDITO]]</f>
        <v>384.65</v>
      </c>
      <c r="E1233" s="13">
        <v>46129</v>
      </c>
      <c r="F1233" s="13" t="s">
        <v>18</v>
      </c>
      <c r="G123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3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33" s="19">
        <f>IFERROR(INDEX([1]!tb_Vendas[Crédito],MATCH(tb_Auditoria[[#This Row],[Nº CONTRATO]],[1]!tb_Vendas[Nº Contrato],0)),0)</f>
        <v>70000</v>
      </c>
      <c r="K1233" s="21">
        <f>IFERROR(tb_Auditoria[[#This Row],[VALOR ESPERADO]] / tb_Auditoria[[#This Row],[VALOR CRÉDITO]], 0)</f>
        <v>0</v>
      </c>
      <c r="L1233" s="19" t="e">
        <f>SUMIFS([1]!Motor_Comissão[Valor Previsto],[1]!Motor_Comissão[Chave], tb_Auditoria[[#This Row],[Nº CONTRATO]]&amp;"-"&amp;tb_Auditoria[[#This Row],[PARCELA ATUAL]])</f>
        <v>#REF!</v>
      </c>
      <c r="M1233" s="19" t="e">
        <f>tb_Auditoria[[#This Row],[VALOR PAGO]] - tb_Auditoria[[#This Row],[VALOR ESPERADO]]</f>
        <v>#REF!</v>
      </c>
      <c r="N123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4" spans="1:15">
      <c r="A1234" s="30">
        <v>1157152</v>
      </c>
      <c r="B1234" s="25">
        <v>5</v>
      </c>
      <c r="C1234" s="37">
        <v>2.1700000000000001E-3</v>
      </c>
      <c r="D1234" s="32">
        <f>tb_Auditoria[[#This Row],[% TAXA RELATÓRIO]]*tb_Auditoria[[#This Row],[VALOR CRÉDITO]]</f>
        <v>151.9</v>
      </c>
      <c r="E1234" s="29">
        <v>46161</v>
      </c>
      <c r="F1234" s="13" t="s">
        <v>18</v>
      </c>
      <c r="G1234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4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34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34" s="23">
        <f>IFERROR(INDEX([1]!tb_Vendas[Crédito],MATCH(tb_Auditoria[[#This Row],[Nº CONTRATO]],[1]!tb_Vendas[Nº Contrato],0)),0)</f>
        <v>70000</v>
      </c>
      <c r="K1234" s="22">
        <f>IFERROR(tb_Auditoria[[#This Row],[VALOR ESPERADO]] / tb_Auditoria[[#This Row],[VALOR CRÉDITO]], 0)</f>
        <v>0</v>
      </c>
      <c r="L1234" s="23" t="e">
        <f>SUMIFS([1]!Motor_Comissão[Valor Previsto],[1]!Motor_Comissão[Chave], tb_Auditoria[[#This Row],[Nº CONTRATO]]&amp;"-"&amp;tb_Auditoria[[#This Row],[PARCELA ATUAL]])</f>
        <v>#REF!</v>
      </c>
      <c r="M1234" s="23" t="e">
        <f>tb_Auditoria[[#This Row],[VALOR PAGO]] - tb_Auditoria[[#This Row],[VALOR ESPERADO]]</f>
        <v>#REF!</v>
      </c>
      <c r="N1234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4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5" spans="1:15">
      <c r="A1235" s="9">
        <v>1157242</v>
      </c>
      <c r="B1235" s="10">
        <v>1</v>
      </c>
      <c r="C1235" s="37">
        <v>5.4949999999999999E-3</v>
      </c>
      <c r="D1235" s="12">
        <f>tb_Auditoria[[#This Row],[% TAXA RELATÓRIO]]*tb_Auditoria[[#This Row],[VALOR CRÉDITO]]</f>
        <v>384.65</v>
      </c>
      <c r="E1235" s="13">
        <v>46038</v>
      </c>
      <c r="F1235" s="13" t="s">
        <v>18</v>
      </c>
      <c r="G123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3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35" s="19">
        <f>IFERROR(INDEX([1]!tb_Vendas[Crédito],MATCH(tb_Auditoria[[#This Row],[Nº CONTRATO]],[1]!tb_Vendas[Nº Contrato],0)),0)</f>
        <v>70000</v>
      </c>
      <c r="K1235" s="21">
        <f>IFERROR(tb_Auditoria[[#This Row],[VALOR ESPERADO]] / tb_Auditoria[[#This Row],[VALOR CRÉDITO]], 0)</f>
        <v>0</v>
      </c>
      <c r="L1235" s="19" t="e">
        <f>SUMIFS([1]!Motor_Comissão[Valor Previsto],[1]!Motor_Comissão[Chave], tb_Auditoria[[#This Row],[Nº CONTRATO]]&amp;"-"&amp;tb_Auditoria[[#This Row],[PARCELA ATUAL]])</f>
        <v>#REF!</v>
      </c>
      <c r="M1235" s="19" t="e">
        <f>tb_Auditoria[[#This Row],[VALOR PAGO]] - tb_Auditoria[[#This Row],[VALOR ESPERADO]]</f>
        <v>#REF!</v>
      </c>
      <c r="N123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6" spans="1:15">
      <c r="A1236" s="9">
        <v>1157242</v>
      </c>
      <c r="B1236" s="10">
        <v>2</v>
      </c>
      <c r="C1236" s="37">
        <v>5.4949999999999999E-3</v>
      </c>
      <c r="D1236" s="12">
        <f>tb_Auditoria[[#This Row],[% TAXA RELATÓRIO]]*tb_Auditoria[[#This Row],[VALOR CRÉDITO]]</f>
        <v>384.65</v>
      </c>
      <c r="E1236" s="13">
        <v>46072</v>
      </c>
      <c r="F1236" s="13" t="s">
        <v>18</v>
      </c>
      <c r="G123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3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36" s="19">
        <f>IFERROR(INDEX([1]!tb_Vendas[Crédito],MATCH(tb_Auditoria[[#This Row],[Nº CONTRATO]],[1]!tb_Vendas[Nº Contrato],0)),0)</f>
        <v>70000</v>
      </c>
      <c r="K1236" s="21">
        <f>IFERROR(tb_Auditoria[[#This Row],[VALOR ESPERADO]] / tb_Auditoria[[#This Row],[VALOR CRÉDITO]], 0)</f>
        <v>0</v>
      </c>
      <c r="L1236" s="19" t="e">
        <f>SUMIFS([1]!Motor_Comissão[Valor Previsto],[1]!Motor_Comissão[Chave], tb_Auditoria[[#This Row],[Nº CONTRATO]]&amp;"-"&amp;tb_Auditoria[[#This Row],[PARCELA ATUAL]])</f>
        <v>#REF!</v>
      </c>
      <c r="M1236" s="19" t="e">
        <f>tb_Auditoria[[#This Row],[VALOR PAGO]] - tb_Auditoria[[#This Row],[VALOR ESPERADO]]</f>
        <v>#REF!</v>
      </c>
      <c r="N123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7" spans="1:15">
      <c r="A1237" s="9">
        <v>1157242</v>
      </c>
      <c r="B1237" s="10">
        <v>3</v>
      </c>
      <c r="C1237" s="37">
        <v>5.4949999999999999E-3</v>
      </c>
      <c r="D1237" s="12">
        <f>tb_Auditoria[[#This Row],[% TAXA RELATÓRIO]]*tb_Auditoria[[#This Row],[VALOR CRÉDITO]]</f>
        <v>384.65</v>
      </c>
      <c r="E1237" s="13">
        <v>46100</v>
      </c>
      <c r="F1237" s="13" t="s">
        <v>18</v>
      </c>
      <c r="G123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3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37" s="19">
        <f>IFERROR(INDEX([1]!tb_Vendas[Crédito],MATCH(tb_Auditoria[[#This Row],[Nº CONTRATO]],[1]!tb_Vendas[Nº Contrato],0)),0)</f>
        <v>70000</v>
      </c>
      <c r="K1237" s="21">
        <f>IFERROR(tb_Auditoria[[#This Row],[VALOR ESPERADO]] / tb_Auditoria[[#This Row],[VALOR CRÉDITO]], 0)</f>
        <v>0</v>
      </c>
      <c r="L1237" s="19" t="e">
        <f>SUMIFS([1]!Motor_Comissão[Valor Previsto],[1]!Motor_Comissão[Chave], tb_Auditoria[[#This Row],[Nº CONTRATO]]&amp;"-"&amp;tb_Auditoria[[#This Row],[PARCELA ATUAL]])</f>
        <v>#REF!</v>
      </c>
      <c r="M1237" s="19" t="e">
        <f>tb_Auditoria[[#This Row],[VALOR PAGO]] - tb_Auditoria[[#This Row],[VALOR ESPERADO]]</f>
        <v>#REF!</v>
      </c>
      <c r="N123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8" spans="1:15">
      <c r="A1238" s="9">
        <v>1157242</v>
      </c>
      <c r="B1238" s="10">
        <v>4</v>
      </c>
      <c r="C1238" s="37">
        <v>5.4949999999999999E-3</v>
      </c>
      <c r="D1238" s="12">
        <f>tb_Auditoria[[#This Row],[% TAXA RELATÓRIO]]*tb_Auditoria[[#This Row],[VALOR CRÉDITO]]</f>
        <v>384.65</v>
      </c>
      <c r="E1238" s="13">
        <v>46129</v>
      </c>
      <c r="F1238" s="13" t="s">
        <v>18</v>
      </c>
      <c r="G123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3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38" s="19">
        <f>IFERROR(INDEX([1]!tb_Vendas[Crédito],MATCH(tb_Auditoria[[#This Row],[Nº CONTRATO]],[1]!tb_Vendas[Nº Contrato],0)),0)</f>
        <v>70000</v>
      </c>
      <c r="K1238" s="21">
        <f>IFERROR(tb_Auditoria[[#This Row],[VALOR ESPERADO]] / tb_Auditoria[[#This Row],[VALOR CRÉDITO]], 0)</f>
        <v>0</v>
      </c>
      <c r="L1238" s="19" t="e">
        <f>SUMIFS([1]!Motor_Comissão[Valor Previsto],[1]!Motor_Comissão[Chave], tb_Auditoria[[#This Row],[Nº CONTRATO]]&amp;"-"&amp;tb_Auditoria[[#This Row],[PARCELA ATUAL]])</f>
        <v>#REF!</v>
      </c>
      <c r="M1238" s="19" t="e">
        <f>tb_Auditoria[[#This Row],[VALOR PAGO]] - tb_Auditoria[[#This Row],[VALOR ESPERADO]]</f>
        <v>#REF!</v>
      </c>
      <c r="N123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39" spans="1:15">
      <c r="A1239" s="9">
        <v>1157242</v>
      </c>
      <c r="B1239" s="10">
        <v>5</v>
      </c>
      <c r="C1239" s="37">
        <v>2.1700000000000001E-3</v>
      </c>
      <c r="D1239" s="12">
        <f>tb_Auditoria[[#This Row],[% TAXA RELATÓRIO]]*tb_Auditoria[[#This Row],[VALOR CRÉDITO]]</f>
        <v>151.9</v>
      </c>
      <c r="E1239" s="13">
        <v>46161</v>
      </c>
      <c r="F1239" s="13" t="s">
        <v>18</v>
      </c>
      <c r="G123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3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LEANDRO CYRINO SALIBA</v>
      </c>
      <c r="I123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39" s="19">
        <f>IFERROR(INDEX([1]!tb_Vendas[Crédito],MATCH(tb_Auditoria[[#This Row],[Nº CONTRATO]],[1]!tb_Vendas[Nº Contrato],0)),0)</f>
        <v>70000</v>
      </c>
      <c r="K1239" s="21">
        <f>IFERROR(tb_Auditoria[[#This Row],[VALOR ESPERADO]] / tb_Auditoria[[#This Row],[VALOR CRÉDITO]], 0)</f>
        <v>0</v>
      </c>
      <c r="L1239" s="19" t="e">
        <f>SUMIFS([1]!Motor_Comissão[Valor Previsto],[1]!Motor_Comissão[Chave], tb_Auditoria[[#This Row],[Nº CONTRATO]]&amp;"-"&amp;tb_Auditoria[[#This Row],[PARCELA ATUAL]])</f>
        <v>#REF!</v>
      </c>
      <c r="M1239" s="19" t="e">
        <f>tb_Auditoria[[#This Row],[VALOR PAGO]] - tb_Auditoria[[#This Row],[VALOR ESPERADO]]</f>
        <v>#REF!</v>
      </c>
      <c r="N123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3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0" spans="1:15">
      <c r="A1240" s="9">
        <v>1157271</v>
      </c>
      <c r="B1240" s="10">
        <v>1</v>
      </c>
      <c r="C1240" s="37">
        <v>5.6519999999999999E-3</v>
      </c>
      <c r="D1240" s="12">
        <f>tb_Auditoria[[#This Row],[% TAXA RELATÓRIO]]*tb_Auditoria[[#This Row],[VALOR CRÉDITO]]</f>
        <v>546.21165383999994</v>
      </c>
      <c r="E1240" s="13">
        <v>46038</v>
      </c>
      <c r="F1240" s="13" t="s">
        <v>18</v>
      </c>
      <c r="G124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4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40" s="19">
        <f>IFERROR(INDEX([1]!tb_Vendas[Crédito],MATCH(tb_Auditoria[[#This Row],[Nº CONTRATO]],[1]!tb_Vendas[Nº Contrato],0)),0)</f>
        <v>96640.42</v>
      </c>
      <c r="K1240" s="21">
        <f>IFERROR(tb_Auditoria[[#This Row],[VALOR ESPERADO]] / tb_Auditoria[[#This Row],[VALOR CRÉDITO]], 0)</f>
        <v>0</v>
      </c>
      <c r="L1240" s="19" t="e">
        <f>SUMIFS([1]!Motor_Comissão[Valor Previsto],[1]!Motor_Comissão[Chave], tb_Auditoria[[#This Row],[Nº CONTRATO]]&amp;"-"&amp;tb_Auditoria[[#This Row],[PARCELA ATUAL]])</f>
        <v>#REF!</v>
      </c>
      <c r="M1240" s="19" t="e">
        <f>tb_Auditoria[[#This Row],[VALOR PAGO]] - tb_Auditoria[[#This Row],[VALOR ESPERADO]]</f>
        <v>#REF!</v>
      </c>
      <c r="N124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1" spans="1:15">
      <c r="A1241" s="9">
        <v>1157271</v>
      </c>
      <c r="B1241" s="10">
        <v>2</v>
      </c>
      <c r="C1241" s="37">
        <v>5.6519999999999999E-3</v>
      </c>
      <c r="D1241" s="12">
        <f>tb_Auditoria[[#This Row],[% TAXA RELATÓRIO]]*tb_Auditoria[[#This Row],[VALOR CRÉDITO]]</f>
        <v>546.21165383999994</v>
      </c>
      <c r="E1241" s="13">
        <v>46072</v>
      </c>
      <c r="F1241" s="13" t="s">
        <v>18</v>
      </c>
      <c r="G124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4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41" s="19">
        <f>IFERROR(INDEX([1]!tb_Vendas[Crédito],MATCH(tb_Auditoria[[#This Row],[Nº CONTRATO]],[1]!tb_Vendas[Nº Contrato],0)),0)</f>
        <v>96640.42</v>
      </c>
      <c r="K1241" s="21">
        <f>IFERROR(tb_Auditoria[[#This Row],[VALOR ESPERADO]] / tb_Auditoria[[#This Row],[VALOR CRÉDITO]], 0)</f>
        <v>0</v>
      </c>
      <c r="L1241" s="19" t="e">
        <f>SUMIFS([1]!Motor_Comissão[Valor Previsto],[1]!Motor_Comissão[Chave], tb_Auditoria[[#This Row],[Nº CONTRATO]]&amp;"-"&amp;tb_Auditoria[[#This Row],[PARCELA ATUAL]])</f>
        <v>#REF!</v>
      </c>
      <c r="M1241" s="19" t="e">
        <f>tb_Auditoria[[#This Row],[VALOR PAGO]] - tb_Auditoria[[#This Row],[VALOR ESPERADO]]</f>
        <v>#REF!</v>
      </c>
      <c r="N124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2" spans="1:15">
      <c r="A1242" s="9">
        <v>1157271</v>
      </c>
      <c r="B1242" s="10">
        <v>3</v>
      </c>
      <c r="C1242" s="37">
        <v>5.6519999999999999E-3</v>
      </c>
      <c r="D1242" s="12">
        <f>tb_Auditoria[[#This Row],[% TAXA RELATÓRIO]]*tb_Auditoria[[#This Row],[VALOR CRÉDITO]]</f>
        <v>546.21165383999994</v>
      </c>
      <c r="E1242" s="13">
        <v>46100</v>
      </c>
      <c r="F1242" s="13" t="s">
        <v>18</v>
      </c>
      <c r="G1242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2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42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42" s="19">
        <f>IFERROR(INDEX([1]!tb_Vendas[Crédito],MATCH(tb_Auditoria[[#This Row],[Nº CONTRATO]],[1]!tb_Vendas[Nº Contrato],0)),0)</f>
        <v>96640.42</v>
      </c>
      <c r="K1242" s="21">
        <f>IFERROR(tb_Auditoria[[#This Row],[VALOR ESPERADO]] / tb_Auditoria[[#This Row],[VALOR CRÉDITO]], 0)</f>
        <v>0</v>
      </c>
      <c r="L1242" s="19" t="e">
        <f>SUMIFS([1]!Motor_Comissão[Valor Previsto],[1]!Motor_Comissão[Chave], tb_Auditoria[[#This Row],[Nº CONTRATO]]&amp;"-"&amp;tb_Auditoria[[#This Row],[PARCELA ATUAL]])</f>
        <v>#REF!</v>
      </c>
      <c r="M1242" s="19" t="e">
        <f>tb_Auditoria[[#This Row],[VALOR PAGO]] - tb_Auditoria[[#This Row],[VALOR ESPERADO]]</f>
        <v>#REF!</v>
      </c>
      <c r="N1242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2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3" spans="1:15">
      <c r="A1243" s="9">
        <v>1157271</v>
      </c>
      <c r="B1243" s="10">
        <v>4</v>
      </c>
      <c r="C1243" s="37">
        <v>5.6519999999999999E-3</v>
      </c>
      <c r="D1243" s="12">
        <f>tb_Auditoria[[#This Row],[% TAXA RELATÓRIO]]*tb_Auditoria[[#This Row],[VALOR CRÉDITO]]</f>
        <v>546.21165383999994</v>
      </c>
      <c r="E1243" s="13">
        <v>46129</v>
      </c>
      <c r="F1243" s="13" t="s">
        <v>18</v>
      </c>
      <c r="G124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4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43" s="19">
        <f>IFERROR(INDEX([1]!tb_Vendas[Crédito],MATCH(tb_Auditoria[[#This Row],[Nº CONTRATO]],[1]!tb_Vendas[Nº Contrato],0)),0)</f>
        <v>96640.42</v>
      </c>
      <c r="K1243" s="21">
        <f>IFERROR(tb_Auditoria[[#This Row],[VALOR ESPERADO]] / tb_Auditoria[[#This Row],[VALOR CRÉDITO]], 0)</f>
        <v>0</v>
      </c>
      <c r="L1243" s="19" t="e">
        <f>SUMIFS([1]!Motor_Comissão[Valor Previsto],[1]!Motor_Comissão[Chave], tb_Auditoria[[#This Row],[Nº CONTRATO]]&amp;"-"&amp;tb_Auditoria[[#This Row],[PARCELA ATUAL]])</f>
        <v>#REF!</v>
      </c>
      <c r="M1243" s="19" t="e">
        <f>tb_Auditoria[[#This Row],[VALOR PAGO]] - tb_Auditoria[[#This Row],[VALOR ESPERADO]]</f>
        <v>#REF!</v>
      </c>
      <c r="N124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4" spans="1:15">
      <c r="A1244" s="9">
        <v>1157271</v>
      </c>
      <c r="B1244" s="10">
        <v>5</v>
      </c>
      <c r="C1244" s="37">
        <v>2.232E-3</v>
      </c>
      <c r="D1244" s="12">
        <f>tb_Auditoria[[#This Row],[% TAXA RELATÓRIO]]*tb_Auditoria[[#This Row],[VALOR CRÉDITO]]</f>
        <v>215.70141744</v>
      </c>
      <c r="E1244" s="13">
        <v>46161</v>
      </c>
      <c r="F1244" s="13" t="s">
        <v>18</v>
      </c>
      <c r="G124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4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44" s="19">
        <f>IFERROR(INDEX([1]!tb_Vendas[Crédito],MATCH(tb_Auditoria[[#This Row],[Nº CONTRATO]],[1]!tb_Vendas[Nº Contrato],0)),0)</f>
        <v>96640.42</v>
      </c>
      <c r="K1244" s="21">
        <f>IFERROR(tb_Auditoria[[#This Row],[VALOR ESPERADO]] / tb_Auditoria[[#This Row],[VALOR CRÉDITO]], 0)</f>
        <v>0</v>
      </c>
      <c r="L1244" s="19" t="e">
        <f>SUMIFS([1]!Motor_Comissão[Valor Previsto],[1]!Motor_Comissão[Chave], tb_Auditoria[[#This Row],[Nº CONTRATO]]&amp;"-"&amp;tb_Auditoria[[#This Row],[PARCELA ATUAL]])</f>
        <v>#REF!</v>
      </c>
      <c r="M1244" s="19" t="e">
        <f>tb_Auditoria[[#This Row],[VALOR PAGO]] - tb_Auditoria[[#This Row],[VALOR ESPERADO]]</f>
        <v>#REF!</v>
      </c>
      <c r="N124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5" spans="1:15">
      <c r="A1245" s="9">
        <v>1157272</v>
      </c>
      <c r="B1245" s="10">
        <v>1</v>
      </c>
      <c r="C1245" s="37">
        <v>5.3379999999999999E-3</v>
      </c>
      <c r="D1245" s="12">
        <f>tb_Auditoria[[#This Row],[% TAXA RELATÓRIO]]*tb_Auditoria[[#This Row],[VALOR CRÉDITO]]</f>
        <v>281.09801240000002</v>
      </c>
      <c r="E1245" s="13">
        <v>46038</v>
      </c>
      <c r="F1245" s="13" t="s">
        <v>18</v>
      </c>
      <c r="G1245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5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45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45" s="19">
        <f>IFERROR(INDEX([1]!tb_Vendas[Crédito],MATCH(tb_Auditoria[[#This Row],[Nº CONTRATO]],[1]!tb_Vendas[Nº Contrato],0)),0)</f>
        <v>52659.8</v>
      </c>
      <c r="K1245" s="21">
        <f>IFERROR(tb_Auditoria[[#This Row],[VALOR ESPERADO]] / tb_Auditoria[[#This Row],[VALOR CRÉDITO]], 0)</f>
        <v>0</v>
      </c>
      <c r="L1245" s="19" t="e">
        <f>SUMIFS([1]!Motor_Comissão[Valor Previsto],[1]!Motor_Comissão[Chave], tb_Auditoria[[#This Row],[Nº CONTRATO]]&amp;"-"&amp;tb_Auditoria[[#This Row],[PARCELA ATUAL]])</f>
        <v>#REF!</v>
      </c>
      <c r="M1245" s="19" t="e">
        <f>tb_Auditoria[[#This Row],[VALOR PAGO]] - tb_Auditoria[[#This Row],[VALOR ESPERADO]]</f>
        <v>#REF!</v>
      </c>
      <c r="N1245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5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6" spans="1:15">
      <c r="A1246" s="9">
        <v>1157272</v>
      </c>
      <c r="B1246" s="10">
        <v>2</v>
      </c>
      <c r="C1246" s="37">
        <v>5.3379999999999999E-3</v>
      </c>
      <c r="D1246" s="12">
        <f>tb_Auditoria[[#This Row],[% TAXA RELATÓRIO]]*tb_Auditoria[[#This Row],[VALOR CRÉDITO]]</f>
        <v>281.09801240000002</v>
      </c>
      <c r="E1246" s="13">
        <v>46072</v>
      </c>
      <c r="F1246" s="13" t="s">
        <v>18</v>
      </c>
      <c r="G124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4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46" s="19">
        <f>IFERROR(INDEX([1]!tb_Vendas[Crédito],MATCH(tb_Auditoria[[#This Row],[Nº CONTRATO]],[1]!tb_Vendas[Nº Contrato],0)),0)</f>
        <v>52659.8</v>
      </c>
      <c r="K1246" s="21">
        <f>IFERROR(tb_Auditoria[[#This Row],[VALOR ESPERADO]] / tb_Auditoria[[#This Row],[VALOR CRÉDITO]], 0)</f>
        <v>0</v>
      </c>
      <c r="L1246" s="19" t="e">
        <f>SUMIFS([1]!Motor_Comissão[Valor Previsto],[1]!Motor_Comissão[Chave], tb_Auditoria[[#This Row],[Nº CONTRATO]]&amp;"-"&amp;tb_Auditoria[[#This Row],[PARCELA ATUAL]])</f>
        <v>#REF!</v>
      </c>
      <c r="M1246" s="19" t="e">
        <f>tb_Auditoria[[#This Row],[VALOR PAGO]] - tb_Auditoria[[#This Row],[VALOR ESPERADO]]</f>
        <v>#REF!</v>
      </c>
      <c r="N124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7" spans="1:15">
      <c r="A1247" s="9">
        <v>1157272</v>
      </c>
      <c r="B1247" s="10">
        <v>3</v>
      </c>
      <c r="C1247" s="37">
        <v>5.3379999999999999E-3</v>
      </c>
      <c r="D1247" s="12">
        <f>tb_Auditoria[[#This Row],[% TAXA RELATÓRIO]]*tb_Auditoria[[#This Row],[VALOR CRÉDITO]]</f>
        <v>281.09801240000002</v>
      </c>
      <c r="E1247" s="13">
        <v>46100</v>
      </c>
      <c r="F1247" s="13" t="s">
        <v>18</v>
      </c>
      <c r="G124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4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47" s="19">
        <f>IFERROR(INDEX([1]!tb_Vendas[Crédito],MATCH(tb_Auditoria[[#This Row],[Nº CONTRATO]],[1]!tb_Vendas[Nº Contrato],0)),0)</f>
        <v>52659.8</v>
      </c>
      <c r="K1247" s="21">
        <f>IFERROR(tb_Auditoria[[#This Row],[VALOR ESPERADO]] / tb_Auditoria[[#This Row],[VALOR CRÉDITO]], 0)</f>
        <v>0</v>
      </c>
      <c r="L1247" s="19" t="e">
        <f>SUMIFS([1]!Motor_Comissão[Valor Previsto],[1]!Motor_Comissão[Chave], tb_Auditoria[[#This Row],[Nº CONTRATO]]&amp;"-"&amp;tb_Auditoria[[#This Row],[PARCELA ATUAL]])</f>
        <v>#REF!</v>
      </c>
      <c r="M1247" s="19" t="e">
        <f>tb_Auditoria[[#This Row],[VALOR PAGO]] - tb_Auditoria[[#This Row],[VALOR ESPERADO]]</f>
        <v>#REF!</v>
      </c>
      <c r="N124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8" spans="1:15">
      <c r="A1248" s="9">
        <v>1157272</v>
      </c>
      <c r="B1248" s="10">
        <v>4</v>
      </c>
      <c r="C1248" s="37">
        <v>5.3379999999999999E-3</v>
      </c>
      <c r="D1248" s="12">
        <f>tb_Auditoria[[#This Row],[% TAXA RELATÓRIO]]*tb_Auditoria[[#This Row],[VALOR CRÉDITO]]</f>
        <v>281.09801240000002</v>
      </c>
      <c r="E1248" s="13">
        <v>46129</v>
      </c>
      <c r="F1248" s="13" t="s">
        <v>18</v>
      </c>
      <c r="G1248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8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48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48" s="19">
        <f>IFERROR(INDEX([1]!tb_Vendas[Crédito],MATCH(tb_Auditoria[[#This Row],[Nº CONTRATO]],[1]!tb_Vendas[Nº Contrato],0)),0)</f>
        <v>52659.8</v>
      </c>
      <c r="K1248" s="21">
        <f>IFERROR(tb_Auditoria[[#This Row],[VALOR ESPERADO]] / tb_Auditoria[[#This Row],[VALOR CRÉDITO]], 0)</f>
        <v>0</v>
      </c>
      <c r="L1248" s="19" t="e">
        <f>SUMIFS([1]!Motor_Comissão[Valor Previsto],[1]!Motor_Comissão[Chave], tb_Auditoria[[#This Row],[Nº CONTRATO]]&amp;"-"&amp;tb_Auditoria[[#This Row],[PARCELA ATUAL]])</f>
        <v>#REF!</v>
      </c>
      <c r="M1248" s="19" t="e">
        <f>tb_Auditoria[[#This Row],[VALOR PAGO]] - tb_Auditoria[[#This Row],[VALOR ESPERADO]]</f>
        <v>#REF!</v>
      </c>
      <c r="N1248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8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49" spans="1:15">
      <c r="A1249" s="9">
        <v>1157272</v>
      </c>
      <c r="B1249" s="10">
        <v>5</v>
      </c>
      <c r="C1249" s="37">
        <v>2.1080000000000001E-3</v>
      </c>
      <c r="D1249" s="12">
        <f>tb_Auditoria[[#This Row],[% TAXA RELATÓRIO]]*tb_Auditoria[[#This Row],[VALOR CRÉDITO]]</f>
        <v>111.00685840000001</v>
      </c>
      <c r="E1249" s="13">
        <v>46161</v>
      </c>
      <c r="F1249" s="13" t="s">
        <v>18</v>
      </c>
      <c r="G1249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49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49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49" s="19">
        <f>IFERROR(INDEX([1]!tb_Vendas[Crédito],MATCH(tb_Auditoria[[#This Row],[Nº CONTRATO]],[1]!tb_Vendas[Nº Contrato],0)),0)</f>
        <v>52659.8</v>
      </c>
      <c r="K1249" s="21">
        <f>IFERROR(tb_Auditoria[[#This Row],[VALOR ESPERADO]] / tb_Auditoria[[#This Row],[VALOR CRÉDITO]], 0)</f>
        <v>0</v>
      </c>
      <c r="L1249" s="19" t="e">
        <f>SUMIFS([1]!Motor_Comissão[Valor Previsto],[1]!Motor_Comissão[Chave], tb_Auditoria[[#This Row],[Nº CONTRATO]]&amp;"-"&amp;tb_Auditoria[[#This Row],[PARCELA ATUAL]])</f>
        <v>#REF!</v>
      </c>
      <c r="M1249" s="19" t="e">
        <f>tb_Auditoria[[#This Row],[VALOR PAGO]] - tb_Auditoria[[#This Row],[VALOR ESPERADO]]</f>
        <v>#REF!</v>
      </c>
      <c r="N1249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49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0" spans="1:15">
      <c r="A1250" s="9">
        <v>1157273</v>
      </c>
      <c r="B1250" s="10">
        <v>1</v>
      </c>
      <c r="C1250" s="37">
        <v>5.3379999999999999E-3</v>
      </c>
      <c r="D1250" s="12">
        <f>tb_Auditoria[[#This Row],[% TAXA RELATÓRIO]]*tb_Auditoria[[#This Row],[VALOR CRÉDITO]]</f>
        <v>281.09801240000002</v>
      </c>
      <c r="E1250" s="13">
        <v>46038</v>
      </c>
      <c r="F1250" s="13" t="s">
        <v>18</v>
      </c>
      <c r="G1250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0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50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50" s="19">
        <f>IFERROR(INDEX([1]!tb_Vendas[Crédito],MATCH(tb_Auditoria[[#This Row],[Nº CONTRATO]],[1]!tb_Vendas[Nº Contrato],0)),0)</f>
        <v>52659.8</v>
      </c>
      <c r="K1250" s="21">
        <f>IFERROR(tb_Auditoria[[#This Row],[VALOR ESPERADO]] / tb_Auditoria[[#This Row],[VALOR CRÉDITO]], 0)</f>
        <v>0</v>
      </c>
      <c r="L1250" s="19" t="e">
        <f>SUMIFS([1]!Motor_Comissão[Valor Previsto],[1]!Motor_Comissão[Chave], tb_Auditoria[[#This Row],[Nº CONTRATO]]&amp;"-"&amp;tb_Auditoria[[#This Row],[PARCELA ATUAL]])</f>
        <v>#REF!</v>
      </c>
      <c r="M1250" s="19" t="e">
        <f>tb_Auditoria[[#This Row],[VALOR PAGO]] - tb_Auditoria[[#This Row],[VALOR ESPERADO]]</f>
        <v>#REF!</v>
      </c>
      <c r="N1250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0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1" spans="1:15">
      <c r="A1251" s="9">
        <v>1157273</v>
      </c>
      <c r="B1251" s="10">
        <v>2</v>
      </c>
      <c r="C1251" s="37">
        <v>5.3379999999999999E-3</v>
      </c>
      <c r="D1251" s="12">
        <f>tb_Auditoria[[#This Row],[% TAXA RELATÓRIO]]*tb_Auditoria[[#This Row],[VALOR CRÉDITO]]</f>
        <v>281.09801240000002</v>
      </c>
      <c r="E1251" s="13">
        <v>46072</v>
      </c>
      <c r="F1251" s="13" t="s">
        <v>18</v>
      </c>
      <c r="G1251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1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51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51" s="19">
        <f>IFERROR(INDEX([1]!tb_Vendas[Crédito],MATCH(tb_Auditoria[[#This Row],[Nº CONTRATO]],[1]!tb_Vendas[Nº Contrato],0)),0)</f>
        <v>52659.8</v>
      </c>
      <c r="K1251" s="21">
        <f>IFERROR(tb_Auditoria[[#This Row],[VALOR ESPERADO]] / tb_Auditoria[[#This Row],[VALOR CRÉDITO]], 0)</f>
        <v>0</v>
      </c>
      <c r="L1251" s="19" t="e">
        <f>SUMIFS([1]!Motor_Comissão[Valor Previsto],[1]!Motor_Comissão[Chave], tb_Auditoria[[#This Row],[Nº CONTRATO]]&amp;"-"&amp;tb_Auditoria[[#This Row],[PARCELA ATUAL]])</f>
        <v>#REF!</v>
      </c>
      <c r="M1251" s="19" t="e">
        <f>tb_Auditoria[[#This Row],[VALOR PAGO]] - tb_Auditoria[[#This Row],[VALOR ESPERADO]]</f>
        <v>#REF!</v>
      </c>
      <c r="N1251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1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2" spans="1:15">
      <c r="A1252" s="30">
        <v>1157273</v>
      </c>
      <c r="B1252" s="25">
        <v>3</v>
      </c>
      <c r="C1252" s="37">
        <v>5.3379999999999999E-3</v>
      </c>
      <c r="D1252" s="32">
        <f>tb_Auditoria[[#This Row],[% TAXA RELATÓRIO]]*tb_Auditoria[[#This Row],[VALOR CRÉDITO]]</f>
        <v>281.09801240000002</v>
      </c>
      <c r="E1252" s="29">
        <v>46100</v>
      </c>
      <c r="F1252" s="13" t="s">
        <v>18</v>
      </c>
      <c r="G1252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2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52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52" s="23">
        <f>IFERROR(INDEX([1]!tb_Vendas[Crédito],MATCH(tb_Auditoria[[#This Row],[Nº CONTRATO]],[1]!tb_Vendas[Nº Contrato],0)),0)</f>
        <v>52659.8</v>
      </c>
      <c r="K1252" s="22">
        <f>IFERROR(tb_Auditoria[[#This Row],[VALOR ESPERADO]] / tb_Auditoria[[#This Row],[VALOR CRÉDITO]], 0)</f>
        <v>0</v>
      </c>
      <c r="L1252" s="23" t="e">
        <f>SUMIFS([1]!Motor_Comissão[Valor Previsto],[1]!Motor_Comissão[Chave], tb_Auditoria[[#This Row],[Nº CONTRATO]]&amp;"-"&amp;tb_Auditoria[[#This Row],[PARCELA ATUAL]])</f>
        <v>#REF!</v>
      </c>
      <c r="M1252" s="23" t="e">
        <f>tb_Auditoria[[#This Row],[VALOR PAGO]] - tb_Auditoria[[#This Row],[VALOR ESPERADO]]</f>
        <v>#REF!</v>
      </c>
      <c r="N1252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2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3" spans="1:15">
      <c r="A1253" s="9">
        <v>1157273</v>
      </c>
      <c r="B1253" s="10">
        <v>4</v>
      </c>
      <c r="C1253" s="37">
        <v>5.3379999999999999E-3</v>
      </c>
      <c r="D1253" s="12">
        <f>tb_Auditoria[[#This Row],[% TAXA RELATÓRIO]]*tb_Auditoria[[#This Row],[VALOR CRÉDITO]]</f>
        <v>281.09801240000002</v>
      </c>
      <c r="E1253" s="13">
        <v>46129</v>
      </c>
      <c r="F1253" s="13" t="s">
        <v>18</v>
      </c>
      <c r="G1253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3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53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53" s="19">
        <f>IFERROR(INDEX([1]!tb_Vendas[Crédito],MATCH(tb_Auditoria[[#This Row],[Nº CONTRATO]],[1]!tb_Vendas[Nº Contrato],0)),0)</f>
        <v>52659.8</v>
      </c>
      <c r="K1253" s="21">
        <f>IFERROR(tb_Auditoria[[#This Row],[VALOR ESPERADO]] / tb_Auditoria[[#This Row],[VALOR CRÉDITO]], 0)</f>
        <v>0</v>
      </c>
      <c r="L1253" s="19" t="e">
        <f>SUMIFS([1]!Motor_Comissão[Valor Previsto],[1]!Motor_Comissão[Chave], tb_Auditoria[[#This Row],[Nº CONTRATO]]&amp;"-"&amp;tb_Auditoria[[#This Row],[PARCELA ATUAL]])</f>
        <v>#REF!</v>
      </c>
      <c r="M1253" s="19" t="e">
        <f>tb_Auditoria[[#This Row],[VALOR PAGO]] - tb_Auditoria[[#This Row],[VALOR ESPERADO]]</f>
        <v>#REF!</v>
      </c>
      <c r="N1253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3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4" spans="1:15">
      <c r="A1254" s="9">
        <v>1157273</v>
      </c>
      <c r="B1254" s="10">
        <v>5</v>
      </c>
      <c r="C1254" s="37">
        <v>2.1080000000000001E-3</v>
      </c>
      <c r="D1254" s="12">
        <f>tb_Auditoria[[#This Row],[% TAXA RELATÓRIO]]*tb_Auditoria[[#This Row],[VALOR CRÉDITO]]</f>
        <v>111.00685840000001</v>
      </c>
      <c r="E1254" s="13">
        <v>46161</v>
      </c>
      <c r="F1254" s="13" t="s">
        <v>18</v>
      </c>
      <c r="G1254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4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54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54" s="19">
        <f>IFERROR(INDEX([1]!tb_Vendas[Crédito],MATCH(tb_Auditoria[[#This Row],[Nº CONTRATO]],[1]!tb_Vendas[Nº Contrato],0)),0)</f>
        <v>52659.8</v>
      </c>
      <c r="K1254" s="21">
        <f>IFERROR(tb_Auditoria[[#This Row],[VALOR ESPERADO]] / tb_Auditoria[[#This Row],[VALOR CRÉDITO]], 0)</f>
        <v>0</v>
      </c>
      <c r="L1254" s="19" t="e">
        <f>SUMIFS([1]!Motor_Comissão[Valor Previsto],[1]!Motor_Comissão[Chave], tb_Auditoria[[#This Row],[Nº CONTRATO]]&amp;"-"&amp;tb_Auditoria[[#This Row],[PARCELA ATUAL]])</f>
        <v>#REF!</v>
      </c>
      <c r="M1254" s="19" t="e">
        <f>tb_Auditoria[[#This Row],[VALOR PAGO]] - tb_Auditoria[[#This Row],[VALOR ESPERADO]]</f>
        <v>#REF!</v>
      </c>
      <c r="N1254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4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5" spans="1:15">
      <c r="A1255" s="30">
        <v>1157274</v>
      </c>
      <c r="B1255" s="25">
        <v>1</v>
      </c>
      <c r="C1255" s="40">
        <v>5.3379999999999999E-3</v>
      </c>
      <c r="D1255" s="32">
        <f>tb_Auditoria[[#This Row],[% TAXA RELATÓRIO]]*tb_Auditoria[[#This Row],[VALOR CRÉDITO]]</f>
        <v>269.36668979999996</v>
      </c>
      <c r="E1255" s="13">
        <v>46038</v>
      </c>
      <c r="F1255" s="13" t="s">
        <v>18</v>
      </c>
      <c r="G1255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5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55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55" s="23">
        <f>IFERROR(INDEX([1]!tb_Vendas[Crédito],MATCH(tb_Auditoria[[#This Row],[Nº CONTRATO]],[1]!tb_Vendas[Nº Contrato],0)),0)</f>
        <v>50462.1</v>
      </c>
      <c r="K1255" s="22">
        <f>IFERROR(tb_Auditoria[[#This Row],[VALOR ESPERADO]] / tb_Auditoria[[#This Row],[VALOR CRÉDITO]], 0)</f>
        <v>0</v>
      </c>
      <c r="L1255" s="23" t="e">
        <f>SUMIFS([1]!Motor_Comissão[Valor Previsto],[1]!Motor_Comissão[Chave], tb_Auditoria[[#This Row],[Nº CONTRATO]]&amp;"-"&amp;tb_Auditoria[[#This Row],[PARCELA ATUAL]])</f>
        <v>#REF!</v>
      </c>
      <c r="M1255" s="23" t="e">
        <f>tb_Auditoria[[#This Row],[VALOR PAGO]] - tb_Auditoria[[#This Row],[VALOR ESPERADO]]</f>
        <v>#REF!</v>
      </c>
      <c r="N1255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5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6" spans="1:15">
      <c r="A1256" s="9">
        <v>1157274</v>
      </c>
      <c r="B1256" s="10">
        <v>2</v>
      </c>
      <c r="C1256" s="37">
        <v>5.3379999999999999E-3</v>
      </c>
      <c r="D1256" s="12">
        <f>tb_Auditoria[[#This Row],[% TAXA RELATÓRIO]]*tb_Auditoria[[#This Row],[VALOR CRÉDITO]]</f>
        <v>269.36668979999996</v>
      </c>
      <c r="E1256" s="13">
        <v>46072</v>
      </c>
      <c r="F1256" s="13" t="s">
        <v>18</v>
      </c>
      <c r="G1256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6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56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56" s="19">
        <f>IFERROR(INDEX([1]!tb_Vendas[Crédito],MATCH(tb_Auditoria[[#This Row],[Nº CONTRATO]],[1]!tb_Vendas[Nº Contrato],0)),0)</f>
        <v>50462.1</v>
      </c>
      <c r="K1256" s="21">
        <f>IFERROR(tb_Auditoria[[#This Row],[VALOR ESPERADO]] / tb_Auditoria[[#This Row],[VALOR CRÉDITO]], 0)</f>
        <v>0</v>
      </c>
      <c r="L1256" s="19" t="e">
        <f>SUMIFS([1]!Motor_Comissão[Valor Previsto],[1]!Motor_Comissão[Chave], tb_Auditoria[[#This Row],[Nº CONTRATO]]&amp;"-"&amp;tb_Auditoria[[#This Row],[PARCELA ATUAL]])</f>
        <v>#REF!</v>
      </c>
      <c r="M1256" s="19" t="e">
        <f>tb_Auditoria[[#This Row],[VALOR PAGO]] - tb_Auditoria[[#This Row],[VALOR ESPERADO]]</f>
        <v>#REF!</v>
      </c>
      <c r="N1256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6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7" spans="1:15">
      <c r="A1257" s="9">
        <v>1157274</v>
      </c>
      <c r="B1257" s="10">
        <v>3</v>
      </c>
      <c r="C1257" s="37">
        <v>5.3379999999999999E-3</v>
      </c>
      <c r="D1257" s="12">
        <f>tb_Auditoria[[#This Row],[% TAXA RELATÓRIO]]*tb_Auditoria[[#This Row],[VALOR CRÉDITO]]</f>
        <v>269.36668979999996</v>
      </c>
      <c r="E1257" s="13">
        <v>46100</v>
      </c>
      <c r="F1257" s="13" t="s">
        <v>18</v>
      </c>
      <c r="G1257" s="24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7" s="24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57" s="38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57" s="19">
        <f>IFERROR(INDEX([1]!tb_Vendas[Crédito],MATCH(tb_Auditoria[[#This Row],[Nº CONTRATO]],[1]!tb_Vendas[Nº Contrato],0)),0)</f>
        <v>50462.1</v>
      </c>
      <c r="K1257" s="21">
        <f>IFERROR(tb_Auditoria[[#This Row],[VALOR ESPERADO]] / tb_Auditoria[[#This Row],[VALOR CRÉDITO]], 0)</f>
        <v>0</v>
      </c>
      <c r="L1257" s="19" t="e">
        <f>SUMIFS([1]!Motor_Comissão[Valor Previsto],[1]!Motor_Comissão[Chave], tb_Auditoria[[#This Row],[Nº CONTRATO]]&amp;"-"&amp;tb_Auditoria[[#This Row],[PARCELA ATUAL]])</f>
        <v>#REF!</v>
      </c>
      <c r="M1257" s="19" t="e">
        <f>tb_Auditoria[[#This Row],[VALOR PAGO]] - tb_Auditoria[[#This Row],[VALOR ESPERADO]]</f>
        <v>#REF!</v>
      </c>
      <c r="N1257" s="10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7" s="20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8" spans="1:15">
      <c r="A1258" s="30">
        <v>1157274</v>
      </c>
      <c r="B1258" s="25">
        <v>4</v>
      </c>
      <c r="C1258" s="40">
        <v>5.3379999999999999E-3</v>
      </c>
      <c r="D1258" s="32">
        <f>tb_Auditoria[[#This Row],[% TAXA RELATÓRIO]]*tb_Auditoria[[#This Row],[VALOR CRÉDITO]]</f>
        <v>269.36668979999996</v>
      </c>
      <c r="E1258" s="13">
        <v>46129</v>
      </c>
      <c r="F1258" s="13" t="s">
        <v>18</v>
      </c>
      <c r="G1258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8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58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58" s="23">
        <f>IFERROR(INDEX([1]!tb_Vendas[Crédito],MATCH(tb_Auditoria[[#This Row],[Nº CONTRATO]],[1]!tb_Vendas[Nº Contrato],0)),0)</f>
        <v>50462.1</v>
      </c>
      <c r="K1258" s="22">
        <f>IFERROR(tb_Auditoria[[#This Row],[VALOR ESPERADO]] / tb_Auditoria[[#This Row],[VALOR CRÉDITO]], 0)</f>
        <v>0</v>
      </c>
      <c r="L1258" s="23" t="e">
        <f>SUMIFS([1]!Motor_Comissão[Valor Previsto],[1]!Motor_Comissão[Chave], tb_Auditoria[[#This Row],[Nº CONTRATO]]&amp;"-"&amp;tb_Auditoria[[#This Row],[PARCELA ATUAL]])</f>
        <v>#REF!</v>
      </c>
      <c r="M1258" s="23" t="e">
        <f>tb_Auditoria[[#This Row],[VALOR PAGO]] - tb_Auditoria[[#This Row],[VALOR ESPERADO]]</f>
        <v>#REF!</v>
      </c>
      <c r="N1258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8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59" spans="1:15">
      <c r="A1259" s="30">
        <v>1157274</v>
      </c>
      <c r="B1259" s="25">
        <v>5</v>
      </c>
      <c r="C1259" s="40">
        <v>2.1080000000000001E-3</v>
      </c>
      <c r="D1259" s="32">
        <f>tb_Auditoria[[#This Row],[% TAXA RELATÓRIO]]*tb_Auditoria[[#This Row],[VALOR CRÉDITO]]</f>
        <v>106.37410680000001</v>
      </c>
      <c r="E1259" s="13">
        <v>46161</v>
      </c>
      <c r="F1259" s="13" t="s">
        <v>18</v>
      </c>
      <c r="G1259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59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RICARDO AUGUSTO SILVINO</v>
      </c>
      <c r="I1259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59" s="23">
        <f>IFERROR(INDEX([1]!tb_Vendas[Crédito],MATCH(tb_Auditoria[[#This Row],[Nº CONTRATO]],[1]!tb_Vendas[Nº Contrato],0)),0)</f>
        <v>50462.1</v>
      </c>
      <c r="K1259" s="22">
        <f>IFERROR(tb_Auditoria[[#This Row],[VALOR ESPERADO]] / tb_Auditoria[[#This Row],[VALOR CRÉDITO]], 0)</f>
        <v>0</v>
      </c>
      <c r="L1259" s="23" t="e">
        <f>SUMIFS([1]!Motor_Comissão[Valor Previsto],[1]!Motor_Comissão[Chave], tb_Auditoria[[#This Row],[Nº CONTRATO]]&amp;"-"&amp;tb_Auditoria[[#This Row],[PARCELA ATUAL]])</f>
        <v>#REF!</v>
      </c>
      <c r="M1259" s="23" t="e">
        <f>tb_Auditoria[[#This Row],[VALOR PAGO]] - tb_Auditoria[[#This Row],[VALOR ESPERADO]]</f>
        <v>#REF!</v>
      </c>
      <c r="N1259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59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60" spans="1:15">
      <c r="A1260" s="30">
        <v>1160302</v>
      </c>
      <c r="B1260" s="25">
        <v>1</v>
      </c>
      <c r="C1260" s="40">
        <v>5.6519999999999999E-3</v>
      </c>
      <c r="D1260" s="32">
        <f>tb_Auditoria[[#This Row],[% TAXA RELATÓRIO]]*tb_Auditoria[[#This Row],[VALOR CRÉDITO]]</f>
        <v>282.60000000000002</v>
      </c>
      <c r="E1260" s="13">
        <v>46129</v>
      </c>
      <c r="F1260" s="13" t="s">
        <v>18</v>
      </c>
      <c r="G1260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60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ROSINALDO DOS SANTOS RIBEIRO GOMES</v>
      </c>
      <c r="I1260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60" s="23">
        <f>IFERROR(INDEX([1]!tb_Vendas[Crédito],MATCH(tb_Auditoria[[#This Row],[Nº CONTRATO]],[1]!tb_Vendas[Nº Contrato],0)),0)</f>
        <v>50000</v>
      </c>
      <c r="K1260" s="22">
        <f>IFERROR(tb_Auditoria[[#This Row],[VALOR ESPERADO]] / tb_Auditoria[[#This Row],[VALOR CRÉDITO]], 0)</f>
        <v>0</v>
      </c>
      <c r="L1260" s="23" t="e">
        <f>SUMIFS([1]!Motor_Comissão[Valor Previsto],[1]!Motor_Comissão[Chave], tb_Auditoria[[#This Row],[Nº CONTRATO]]&amp;"-"&amp;tb_Auditoria[[#This Row],[PARCELA ATUAL]])</f>
        <v>#REF!</v>
      </c>
      <c r="M1260" s="23" t="e">
        <f>tb_Auditoria[[#This Row],[VALOR PAGO]] - tb_Auditoria[[#This Row],[VALOR ESPERADO]]</f>
        <v>#REF!</v>
      </c>
      <c r="N1260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60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  <row r="1261" spans="1:15">
      <c r="A1261" s="30">
        <v>1160302</v>
      </c>
      <c r="B1261" s="25">
        <v>2</v>
      </c>
      <c r="C1261" s="40">
        <v>5.6519999999999999E-3</v>
      </c>
      <c r="D1261" s="32">
        <f>tb_Auditoria[[#This Row],[% TAXA RELATÓRIO]]*tb_Auditoria[[#This Row],[VALOR CRÉDITO]]</f>
        <v>282.60000000000002</v>
      </c>
      <c r="E1261" s="13">
        <v>46161</v>
      </c>
      <c r="F1261" s="13" t="s">
        <v>18</v>
      </c>
      <c r="G1261" s="26" t="str">
        <f>IFERROR(INDEX([1]!Motor_Comissão[Empresa Recebedora],MATCH(tb_Auditoria[[#This Row],[Nº CONTRATO]]&amp;"-"&amp;tb_Auditoria[[#This Row],[PARCELA ATUAL]],[1]!Motor_Comissão[Chave], 0)),"Não previsto no fluxo")</f>
        <v>Não previsto no fluxo</v>
      </c>
      <c r="H1261" s="26" t="str">
        <f>IFERROR(INDEX([1]!tb_Vendas[CLIENTE], MATCH(tb_Auditoria[[#This Row],[Nº CONTRATO]], [1]!tb_Vendas[Nº Contrato], 0)), IFERROR(INDEX([1]!tb_Vendas[CLIENTE], MATCH(tb_Auditoria[[#This Row],[Nº CONTRATO]]&amp;"", [1]!tb_Vendas[Nº Contrato], 0)), IFERROR(INDEX([1]!tb_Vendas[CLIENTE], MATCH(VALUE(tb_Auditoria[[#This Row],[Nº CONTRATO]]), [1]!tb_Vendas[Nº Contrato], 0)), "Contrato não cadastrado")))</f>
        <v>ROSINALDO DOS SANTOS RIBEIRO GOMES</v>
      </c>
      <c r="I1261" s="39" t="str">
        <f>IFERROR(INDEX([1]!tb_Vendas[CONSULTOR], MATCH(tb_Auditoria[[#This Row],[Nº CONTRATO]], [1]!tb_Vendas[Nº Contrato], 0)), IFERROR(INDEX([1]!tb_Vendas[CONSULTOR], MATCH(tb_Auditoria[[#This Row],[Nº CONTRATO]]&amp;"", [1]!tb_Vendas[Nº Contrato], 0)), IFERROR(INDEX([1]!tb_Vendas[CONSULTOR], MATCH(VALUE(tb_Auditoria[[#This Row],[Nº CONTRATO]]), [1]!tb_Vendas[Nº Contrato], 0)), "Não encontrado")))</f>
        <v>RODOLPHO</v>
      </c>
      <c r="J1261" s="23">
        <f>IFERROR(INDEX([1]!tb_Vendas[Crédito],MATCH(tb_Auditoria[[#This Row],[Nº CONTRATO]],[1]!tb_Vendas[Nº Contrato],0)),0)</f>
        <v>50000</v>
      </c>
      <c r="K1261" s="22">
        <f>IFERROR(tb_Auditoria[[#This Row],[VALOR ESPERADO]] / tb_Auditoria[[#This Row],[VALOR CRÉDITO]], 0)</f>
        <v>0</v>
      </c>
      <c r="L1261" s="23" t="e">
        <f>SUMIFS([1]!Motor_Comissão[Valor Previsto],[1]!Motor_Comissão[Chave], tb_Auditoria[[#This Row],[Nº CONTRATO]]&amp;"-"&amp;tb_Auditoria[[#This Row],[PARCELA ATUAL]])</f>
        <v>#REF!</v>
      </c>
      <c r="M1261" s="23" t="e">
        <f>tb_Auditoria[[#This Row],[VALOR PAGO]] - tb_Auditoria[[#This Row],[VALOR ESPERADO]]</f>
        <v>#REF!</v>
      </c>
      <c r="N1261" s="25" t="e">
        <f>IF(tb_Auditoria[[#This Row],[VALOR ESPERADO]]=0, "NÃO PREVISTO NO FLUXO", IF(ROUND(SUMIFS(tb_Auditoria[VALOR PAGO], tb_Auditoria[Nº CONTRATO], tb_Auditoria[[#This Row],[Nº CONTRATO]], tb_Auditoria[PARCELA ATUAL], tb_Auditoria[[#This Row],[PARCELA ATUAL]]) - tb_Auditoria[[#This Row],[VALOR ESPERADO]], 2)=0, "PROCESSADO CORRETAMENTE", IF(ROUND(SUMIFS(tb_Auditoria[VALOR PAGO], tb_Auditoria[Nº CONTRATO], tb_Auditoria[[#This Row],[Nº CONTRATO]], tb_Auditoria[PARCELA ATUAL], tb_Auditoria[[#This Row],[PARCELA ATUAL]]) - tb_Auditoria[[#This Row],[VALOR ESPERADO]], 2)&lt;0, "COBRAR DIVERGÊNCIA", "REEMBOLSO")))</f>
        <v>#REF!</v>
      </c>
      <c r="O1261" s="27" t="str">
        <f>IF(tb_Auditoria[[#This Row],[Nº CONTRATO]]="", "", IF(OR(tb_Auditoria[[#This Row],[PARCELA ATUAL]]=1, tb_Auditoria[[#This Row],[PARCELA ATUAL]]=12), "Sequência OK", IF(COUNTIFS(tb_Auditoria[Nº CONTRATO], tb_Auditoria[[#This Row],[Nº CONTRATO]], tb_Auditoria[PARCELA ATUAL], tb_Auditoria[[#This Row],[PARCELA ATUAL]]-1)&gt;0, "Sequência OK", "⚠️ PULO (Cobrar P" &amp; (tb_Auditoria[[#This Row],[PARCELA ATUAL]]-1) &amp; ")")))</f>
        <v>Sequência OK</v>
      </c>
    </row>
  </sheetData>
  <mergeCells count="1">
    <mergeCell ref="A1:N4"/>
  </mergeCells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Auditoria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Gestão Lemos</dc:creator>
  <cp:lastModifiedBy>Gestão Lemos</cp:lastModifiedBy>
  <dcterms:created xsi:type="dcterms:W3CDTF">2026-06-16T13:16:04Z</dcterms:created>
  <dcterms:modified xsi:type="dcterms:W3CDTF">2026-06-16T13:16:31Z</dcterms:modified>
</cp:coreProperties>
</file>